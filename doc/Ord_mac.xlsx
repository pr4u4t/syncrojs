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8e1024add06d7f/Ordmac/"/>
    </mc:Choice>
  </mc:AlternateContent>
  <xr:revisionPtr revIDLastSave="468" documentId="8_{288537FF-CDA4-4584-9C37-CB34EEECEFDE}" xr6:coauthVersionLast="46" xr6:coauthVersionMax="46" xr10:uidLastSave="{26251D2E-50B8-40F7-AD29-352C5859B879}"/>
  <bookViews>
    <workbookView xWindow="-108" yWindow="-108" windowWidth="23256" windowHeight="12576" xr2:uid="{0AA3FD0E-3532-4C12-8836-990E7DCC264F}"/>
  </bookViews>
  <sheets>
    <sheet name="Wpisy rozpisane" sheetId="1" r:id="rId1"/>
    <sheet name="1WP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5" i="2"/>
  <c r="D6" i="2"/>
  <c r="D7" i="2"/>
  <c r="D8" i="2"/>
  <c r="D9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2" i="1"/>
  <c r="D86" i="1"/>
  <c r="H83" i="1" s="1"/>
  <c r="H2" i="1"/>
  <c r="G3" i="1" s="1"/>
  <c r="H3" i="1" s="1"/>
  <c r="G4" i="1" s="1"/>
  <c r="H4" i="1" s="1"/>
  <c r="G5" i="1" s="1"/>
  <c r="H5" i="1" s="1"/>
  <c r="G6" i="1" s="1"/>
  <c r="H6" i="1" s="1"/>
  <c r="G7" i="1" s="1"/>
  <c r="H7" i="1" s="1"/>
  <c r="G8" i="1" s="1"/>
  <c r="H8" i="1" s="1"/>
  <c r="G9" i="1" s="1"/>
  <c r="H9" i="1" s="1"/>
  <c r="G10" i="1" s="1"/>
  <c r="H10" i="1" s="1"/>
  <c r="G11" i="1" s="1"/>
  <c r="H11" i="1" l="1"/>
  <c r="G12" i="1" s="1"/>
  <c r="H12" i="1" s="1"/>
  <c r="G13" i="1" s="1"/>
  <c r="H13" i="1" s="1"/>
  <c r="G14" i="1" s="1"/>
  <c r="H14" i="1" s="1"/>
  <c r="G15" i="1" s="1"/>
  <c r="H15" i="1" s="1"/>
  <c r="G16" i="1" s="1"/>
  <c r="H16" i="1" s="1"/>
  <c r="G17" i="1" s="1"/>
  <c r="H17" i="1" s="1"/>
  <c r="G18" i="1" s="1"/>
  <c r="H18" i="1" s="1"/>
  <c r="G19" i="1" s="1"/>
  <c r="H19" i="1" s="1"/>
  <c r="G20" i="1" s="1"/>
  <c r="H20" i="1" s="1"/>
  <c r="G21" i="1" s="1"/>
  <c r="H21" i="1" s="1"/>
  <c r="G22" i="1" s="1"/>
  <c r="H22" i="1" s="1"/>
  <c r="G23" i="1" s="1"/>
  <c r="H23" i="1" s="1"/>
  <c r="G24" i="1" s="1"/>
  <c r="H24" i="1" s="1"/>
  <c r="G25" i="1" s="1"/>
  <c r="H25" i="1" s="1"/>
  <c r="G26" i="1" s="1"/>
  <c r="H26" i="1" s="1"/>
  <c r="G27" i="1" s="1"/>
  <c r="H27" i="1" s="1"/>
  <c r="G28" i="1" s="1"/>
  <c r="H28" i="1" s="1"/>
  <c r="G29" i="1" s="1"/>
  <c r="H29" i="1" s="1"/>
  <c r="G30" i="1" s="1"/>
  <c r="H30" i="1" s="1"/>
  <c r="G31" i="1" s="1"/>
  <c r="H31" i="1" s="1"/>
  <c r="G32" i="1" s="1"/>
  <c r="H32" i="1" s="1"/>
  <c r="G33" i="1" s="1"/>
  <c r="H33" i="1" s="1"/>
  <c r="G34" i="1" s="1"/>
  <c r="H34" i="1" s="1"/>
  <c r="G35" i="1" s="1"/>
  <c r="H35" i="1" s="1"/>
  <c r="G36" i="1" s="1"/>
  <c r="H36" i="1" s="1"/>
  <c r="G37" i="1" s="1"/>
  <c r="H37" i="1" s="1"/>
  <c r="G38" i="1" s="1"/>
  <c r="H38" i="1" s="1"/>
  <c r="G39" i="1" s="1"/>
  <c r="H39" i="1" s="1"/>
  <c r="G40" i="1" s="1"/>
  <c r="H40" i="1" s="1"/>
  <c r="G41" i="1" s="1"/>
  <c r="H41" i="1" s="1"/>
  <c r="G42" i="1" s="1"/>
  <c r="H42" i="1" s="1"/>
  <c r="G43" i="1" s="1"/>
  <c r="H43" i="1" s="1"/>
  <c r="G44" i="1" s="1"/>
  <c r="H44" i="1" s="1"/>
  <c r="G45" i="1" s="1"/>
  <c r="H45" i="1" s="1"/>
  <c r="G46" i="1" s="1"/>
  <c r="H46" i="1" s="1"/>
  <c r="G47" i="1" s="1"/>
  <c r="H47" i="1" s="1"/>
  <c r="G48" i="1" s="1"/>
  <c r="H48" i="1" s="1"/>
  <c r="G49" i="1" s="1"/>
  <c r="H49" i="1" s="1"/>
  <c r="G50" i="1" s="1"/>
  <c r="H50" i="1" s="1"/>
  <c r="G51" i="1" s="1"/>
  <c r="H51" i="1" s="1"/>
  <c r="G52" i="1" s="1"/>
  <c r="H52" i="1" s="1"/>
  <c r="G53" i="1" s="1"/>
  <c r="H53" i="1" s="1"/>
  <c r="G54" i="1" s="1"/>
  <c r="H54" i="1" s="1"/>
  <c r="G55" i="1" s="1"/>
  <c r="H55" i="1" s="1"/>
  <c r="G56" i="1" s="1"/>
  <c r="H56" i="1" s="1"/>
  <c r="G57" i="1" s="1"/>
  <c r="H57" i="1" s="1"/>
  <c r="G58" i="1" s="1"/>
  <c r="H58" i="1" s="1"/>
  <c r="G59" i="1" s="1"/>
  <c r="H59" i="1" s="1"/>
  <c r="G60" i="1" s="1"/>
  <c r="H60" i="1" s="1"/>
  <c r="G61" i="1" s="1"/>
  <c r="H61" i="1" s="1"/>
  <c r="G62" i="1" s="1"/>
  <c r="H62" i="1" s="1"/>
  <c r="G63" i="1" s="1"/>
  <c r="H63" i="1" s="1"/>
  <c r="G64" i="1" s="1"/>
  <c r="H64" i="1" s="1"/>
  <c r="G65" i="1" s="1"/>
  <c r="H65" i="1" s="1"/>
  <c r="G66" i="1" s="1"/>
  <c r="H66" i="1" s="1"/>
  <c r="G67" i="1" s="1"/>
  <c r="H67" i="1" s="1"/>
  <c r="G68" i="1" s="1"/>
  <c r="H68" i="1" s="1"/>
  <c r="G69" i="1" s="1"/>
  <c r="H69" i="1" s="1"/>
  <c r="G70" i="1" s="1"/>
  <c r="H70" i="1" s="1"/>
  <c r="G71" i="1" s="1"/>
  <c r="H71" i="1" s="1"/>
  <c r="G72" i="1" s="1"/>
  <c r="H72" i="1" s="1"/>
  <c r="G73" i="1" s="1"/>
  <c r="H73" i="1" s="1"/>
  <c r="G74" i="1" s="1"/>
  <c r="H74" i="1" s="1"/>
  <c r="G75" i="1" s="1"/>
  <c r="H75" i="1" s="1"/>
  <c r="G76" i="1" s="1"/>
  <c r="H76" i="1" s="1"/>
  <c r="G77" i="1" s="1"/>
  <c r="H77" i="1" s="1"/>
  <c r="G78" i="1" s="1"/>
  <c r="H78" i="1" s="1"/>
  <c r="G79" i="1" s="1"/>
  <c r="H79" i="1" s="1"/>
  <c r="G80" i="1" s="1"/>
  <c r="H80" i="1" s="1"/>
  <c r="G81" i="1" s="1"/>
  <c r="H81" i="1" s="1"/>
  <c r="G82" i="1" s="1"/>
  <c r="H82" i="1" s="1"/>
  <c r="G83" i="1" s="1"/>
</calcChain>
</file>

<file path=xl/sharedStrings.xml><?xml version="1.0" encoding="utf-8"?>
<sst xmlns="http://schemas.openxmlformats.org/spreadsheetml/2006/main" count="339" uniqueCount="188">
  <si>
    <t xml:space="preserve">  cod_ord_abb As String * 11   'Codice abbinamento</t>
  </si>
  <si>
    <t xml:space="preserve">  cod_area23 As String * 30             'Dodatkowe pole</t>
  </si>
  <si>
    <t xml:space="preserve">  cod_factor_1 As String * 5</t>
  </si>
  <si>
    <t xml:space="preserve">  cod_factor_2 As String * 5</t>
  </si>
  <si>
    <t xml:space="preserve">  spde_id As String * 4          'codice univoco spde</t>
  </si>
  <si>
    <t xml:space="preserve">  stag_id As String * 4           'codice univoco stag</t>
  </si>
  <si>
    <t xml:space="preserve">  mod_id As String * 2            'campo modifica ordine</t>
  </si>
  <si>
    <t xml:space="preserve">  old_stag_id As String * 4           'vecchio codice univoco stag per gli ordini eseguiti</t>
  </si>
  <si>
    <t xml:space="preserve">  old_mod_id As String * 2            'vecchio campo modifica ordine per gli ordini eseguiti</t>
  </si>
  <si>
    <t xml:space="preserve">  alt_bob As String * 5       'Altezza della bobina in mm/10</t>
  </si>
  <si>
    <t xml:space="preserve">  met_tot_ord As String * 8 ' metri totali dell'ordine</t>
  </si>
  <si>
    <t xml:space="preserve">  pre_all As String * 3   'metri per preallarme</t>
  </si>
  <si>
    <t>KOD</t>
  </si>
  <si>
    <t>POLE ZMIENNYCH</t>
  </si>
  <si>
    <t>WSP. 1</t>
  </si>
  <si>
    <t>WSP. 2</t>
  </si>
  <si>
    <t>Jakiś kod wew</t>
  </si>
  <si>
    <t>jakis kod wew</t>
  </si>
  <si>
    <t xml:space="preserve">  cod_com_car As String * 36       'Codice univoco carte composizione onda</t>
  </si>
  <si>
    <t xml:space="preserve">  Cod_ond As String * 3                'codice del tipo di onda</t>
  </si>
  <si>
    <t xml:space="preserve">  Alt_ond As String * 4                   'altezza onda in decimi di mm</t>
  </si>
  <si>
    <t xml:space="preserve">  Vel_aoc As String * 4                 'velocitŕ cambio ordine</t>
  </si>
  <si>
    <t xml:space="preserve">  vel_pro As String * 4                  'velocitŕ produzione</t>
  </si>
  <si>
    <t xml:space="preserve">  Pes_mt2 As String * 4                 'peso in gr/mt2</t>
  </si>
  <si>
    <t xml:space="preserve">  Cod_cod_ond As String * 4       'codice onda</t>
  </si>
  <si>
    <t xml:space="preserve">  nom_cli As String * 30           'Nome esteso del cliente</t>
  </si>
  <si>
    <t xml:space="preserve">  sca_lar As String * 5             'larghezza scatola in mm/10</t>
  </si>
  <si>
    <t xml:space="preserve">  sca_lar_extra_1 As String * 5     '</t>
  </si>
  <si>
    <t xml:space="preserve">  sca_lar_extra_2 As String * 5     '</t>
  </si>
  <si>
    <t xml:space="preserve">  sca_lar_extra_3 As String * 5     '</t>
  </si>
  <si>
    <t xml:space="preserve">  sca_lar_extra_4 As String * 5     '</t>
  </si>
  <si>
    <t xml:space="preserve">  sca_lar_extra_5 As String * 5     '</t>
  </si>
  <si>
    <t xml:space="preserve">  stacker As String * 4</t>
  </si>
  <si>
    <t xml:space="preserve">  sca_lun As String * 5            'lunghezza scatola in mm/10</t>
  </si>
  <si>
    <t xml:space="preserve">  sca_tot_num As String * 6   'numero scatole totali (numero fogli)</t>
  </si>
  <si>
    <t xml:space="preserve">  Sca_per_tag As String * 1    'numero scatole per taglio (resa)</t>
  </si>
  <si>
    <t xml:space="preserve">  met As String * 8                  'Metri dell'ordine</t>
  </si>
  <si>
    <t xml:space="preserve">  Ord_liv As String * 1             'formato  (1=Basso, 2=Medio, 3=Alto)</t>
  </si>
  <si>
    <t xml:space="preserve">  cut_to_mark As String * 1        'informazione se l'ordine su quel livello č cut_to_mark: 0 = NO, 1 = SI</t>
  </si>
  <si>
    <t xml:space="preserve">  cod_com_ord As String * 15            'Codice commessa ordine</t>
  </si>
  <si>
    <t xml:space="preserve">  cod_cli As String * 12                'Codice cliente</t>
  </si>
  <si>
    <t xml:space="preserve">  ora_ini As String * 8</t>
  </si>
  <si>
    <t xml:space="preserve">  dat_ini As String * 8</t>
  </si>
  <si>
    <t xml:space="preserve">  ora_fin As String * 8</t>
  </si>
  <si>
    <t xml:space="preserve">  dat_fin As String * 8</t>
  </si>
  <si>
    <t xml:space="preserve">  met_tot  As String * 8</t>
  </si>
  <si>
    <t xml:space="preserve">  vel_med As String * 3</t>
  </si>
  <si>
    <t xml:space="preserve">  fog_buo As String * 7</t>
  </si>
  <si>
    <t xml:space="preserve">  fog_err As String * 7</t>
  </si>
  <si>
    <t xml:space="preserve">  fog_sca As String * 7</t>
  </si>
  <si>
    <t>szer wstęgi</t>
  </si>
  <si>
    <t>start</t>
  </si>
  <si>
    <t>end</t>
  </si>
  <si>
    <t>dl całkowita</t>
  </si>
  <si>
    <t>Całkowita * 10</t>
  </si>
  <si>
    <t>jakas wartosc</t>
  </si>
  <si>
    <t>KOMENTARZ 1</t>
  </si>
  <si>
    <t>KOMENTARZ 3</t>
  </si>
  <si>
    <t>B11</t>
  </si>
  <si>
    <t>B12</t>
  </si>
  <si>
    <t>B13</t>
  </si>
  <si>
    <t>B14</t>
  </si>
  <si>
    <t>B15</t>
  </si>
  <si>
    <t>STAKER 1</t>
  </si>
  <si>
    <t xml:space="preserve">Całkowita </t>
  </si>
  <si>
    <t>KOMENTARZ 2</t>
  </si>
  <si>
    <t>B21</t>
  </si>
  <si>
    <t>B22</t>
  </si>
  <si>
    <t>B23</t>
  </si>
  <si>
    <t>B24</t>
  </si>
  <si>
    <t>B25</t>
  </si>
  <si>
    <t>B31</t>
  </si>
  <si>
    <t>B32</t>
  </si>
  <si>
    <t>B33</t>
  </si>
  <si>
    <t>B34</t>
  </si>
  <si>
    <t>B35</t>
  </si>
  <si>
    <t>STAKER 2</t>
  </si>
  <si>
    <t xml:space="preserve">KOD12345678T20D20E60P345                 1.33 1.44     915201914201FALA E                              E                      2500043970      KOMENT123456789KOD123456789NAZWA_KLIENTA12345678901234567250005000 5000 6000 2000 7000 700 500008794  143970   20                                                         0    0    0    0    0    0    0   0           0                                                                  0    0    0    0    0    0    0   0           0         23:05:0321-05-04                           0      0      0      0      0      0      0      0      0      </t>
  </si>
  <si>
    <t>l. znak</t>
  </si>
  <si>
    <t>KOD12345678</t>
  </si>
  <si>
    <t>T20D20E60P345[s][s][s][s][s][s][s][s][s][s][s][s][s][s][s][s][s]</t>
  </si>
  <si>
    <t>1.33[s]</t>
  </si>
  <si>
    <t>1.44[s]</t>
  </si>
  <si>
    <t>[s][s][s][s]</t>
  </si>
  <si>
    <t>9152</t>
  </si>
  <si>
    <t>01</t>
  </si>
  <si>
    <t>9142</t>
  </si>
  <si>
    <t>FALA[s]E[s][s][s][s][s][s][s][s][s][s][s][s][s][s][s][s][s][s][s][s][s][s][s][s][s][s][s][s][s][s]</t>
  </si>
  <si>
    <t>E[s][s]</t>
  </si>
  <si>
    <t>25000</t>
  </si>
  <si>
    <t>43970[s][s][s]</t>
  </si>
  <si>
    <t>[s][s][s]</t>
  </si>
  <si>
    <t>KOMENT123456789</t>
  </si>
  <si>
    <t>KOD123456789</t>
  </si>
  <si>
    <t>NAZWA_KLIENTA12345678901234567</t>
  </si>
  <si>
    <t>5000[s]</t>
  </si>
  <si>
    <t>6000[s]</t>
  </si>
  <si>
    <t>2000[s]</t>
  </si>
  <si>
    <t>7000[s]</t>
  </si>
  <si>
    <t>700[s]</t>
  </si>
  <si>
    <t>50000</t>
  </si>
  <si>
    <t>8794[s][s]</t>
  </si>
  <si>
    <t>1</t>
  </si>
  <si>
    <t>2</t>
  </si>
  <si>
    <t>0</t>
  </si>
  <si>
    <t>[s][s][s][s][s][s][s][s][s][s][s][s][s][s][s]</t>
  </si>
  <si>
    <t>[s][s][s][s][s][s][s][s][s][s][s][s]</t>
  </si>
  <si>
    <t>[s][s][s][s][s][s][s][s][s][s][s][s][s][s][s][s][s][s][s][s][s][s][s][s][s][s][s][s][s][s]</t>
  </si>
  <si>
    <t>0[s][s][s][s]</t>
  </si>
  <si>
    <t>0[s][s][s]</t>
  </si>
  <si>
    <t>[s][s][s][s][s][s]</t>
  </si>
  <si>
    <t>[s]</t>
  </si>
  <si>
    <t>0[s][s][s][s][s][s][s]</t>
  </si>
  <si>
    <t>23:05:03</t>
  </si>
  <si>
    <t>21-05-04</t>
  </si>
  <si>
    <t>[s][s][s][s][s][s][s][s]</t>
  </si>
  <si>
    <t>0[s][s][s][s][s][s]</t>
  </si>
  <si>
    <t>Wartość * 10</t>
  </si>
  <si>
    <t>RODZAJ FALI</t>
  </si>
  <si>
    <t>Pole oryginalne</t>
  </si>
  <si>
    <t>Komentarz</t>
  </si>
  <si>
    <t>Ilość znaków</t>
  </si>
  <si>
    <t>Nazwa pola</t>
  </si>
  <si>
    <t>pole może być puste</t>
  </si>
  <si>
    <t>Jakieś pole</t>
  </si>
  <si>
    <t>DANE WSPÓLNE ZLECENIA</t>
  </si>
  <si>
    <t>L1</t>
  </si>
  <si>
    <t>L2</t>
  </si>
  <si>
    <t>L3</t>
  </si>
  <si>
    <t>może być puste</t>
  </si>
  <si>
    <t>GODZINA ZLECENIA - zakończenia do archiwum</t>
  </si>
  <si>
    <t>DATA ZLECENIA - zakończenia do archiwum</t>
  </si>
  <si>
    <t>GODZINA ZLECENIA - utworzenie</t>
  </si>
  <si>
    <t>DATA ZLECENIA - utworzenie</t>
  </si>
  <si>
    <t>Wyprodukowane metry - do archiwum</t>
  </si>
  <si>
    <t>Śreednia prędkość produkcji - do archiwum</t>
  </si>
  <si>
    <t>pole obowiązkowe - watość 0 wymagana</t>
  </si>
  <si>
    <t>Pole błędów Linia 1</t>
  </si>
  <si>
    <t>Pole błędów Linia 2</t>
  </si>
  <si>
    <t>Pole błędów Linia 3</t>
  </si>
  <si>
    <t>KOD KLIENTA 2</t>
  </si>
  <si>
    <t>KOD KLIENTA 3</t>
  </si>
  <si>
    <t>NAZWA KLIENTA 3</t>
  </si>
  <si>
    <t>SZEROKOSC 2</t>
  </si>
  <si>
    <t>NAZWA KLIENTA 2</t>
  </si>
  <si>
    <t>SZEROKOSC 3</t>
  </si>
  <si>
    <t>KOD KLIENTA 1</t>
  </si>
  <si>
    <t>NAZWA KLIENTA 1</t>
  </si>
  <si>
    <t>SZEROKOSC 1</t>
  </si>
  <si>
    <t>Wymagany tekst</t>
  </si>
  <si>
    <t>Wymagany tekst w odpowienim formacie</t>
  </si>
  <si>
    <t>Wymagana wartość z "."</t>
  </si>
  <si>
    <t>WYMAGANA WARTOŚĆ "RODZAJ_FALI"</t>
  </si>
  <si>
    <t>wymagane jako słowo FALA[s]RODZAJ_FALI</t>
  </si>
  <si>
    <t>Wartość wyliczona przez program</t>
  </si>
  <si>
    <t>Komentarz dla L1 (może być pusty)</t>
  </si>
  <si>
    <t>Kod dla L1 (może być pusty)</t>
  </si>
  <si>
    <t>Nazwa  dla L1 (może być pusty)</t>
  </si>
  <si>
    <t xml:space="preserve"> (1=Basso, 2=Medio, 3=Alto)</t>
  </si>
  <si>
    <t>Wymagane jeśli L2 aktywna</t>
  </si>
  <si>
    <t>pole obowiązkowe - wyliczone przez program</t>
  </si>
  <si>
    <t>DŁUGOŚĆ L1</t>
  </si>
  <si>
    <t>Wymagana</t>
  </si>
  <si>
    <t>METRY WSTEGI</t>
  </si>
  <si>
    <t>Nieużywane</t>
  </si>
  <si>
    <t>Pole obowiązkowe</t>
  </si>
  <si>
    <t>ILOSC L1</t>
  </si>
  <si>
    <t>PASY L1</t>
  </si>
  <si>
    <t>Przykładowa wartość ([s] - oznacza spację)</t>
  </si>
  <si>
    <t>DŁUGOŚĆ L3</t>
  </si>
  <si>
    <t>ILOSC L3</t>
  </si>
  <si>
    <t>PASY L3</t>
  </si>
  <si>
    <t>PASY L2</t>
  </si>
  <si>
    <t>ILOSC L2</t>
  </si>
  <si>
    <t>DŁUGOŚĆ L2</t>
  </si>
  <si>
    <t>Wymagane jeśli L3 aktywna</t>
  </si>
  <si>
    <t>Wymagane jeśli L2 aktywna, inaczej 0</t>
  </si>
  <si>
    <t>Wymagane jeśli L2 aktywna, inaczej puste</t>
  </si>
  <si>
    <t>Wymagane jeśli L3 aktywna, inaczej 0</t>
  </si>
  <si>
    <t>Wymagane jeśli L3 aktywna, inaczej 1</t>
  </si>
  <si>
    <t>Wymagane jeśli L3 aktywna, inaczej 2</t>
  </si>
  <si>
    <t>Wymagane jeśli L3 aktywna, inaczej 3</t>
  </si>
  <si>
    <t>Wymagane jeśli L3 aktywna, inaczej 4</t>
  </si>
  <si>
    <t>Wymagane jeśli L3 aktywna, inaczej 5</t>
  </si>
  <si>
    <t>Wymagane jeśli L3 aktywna, inaczej 6</t>
  </si>
  <si>
    <t>Wymagane jeśli L3 aktywna, inaczej 7</t>
  </si>
  <si>
    <t>HH:MM:SS - obowiązkowe</t>
  </si>
  <si>
    <t>YY-MM-DD - obowiązkowe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</si>
</sst>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3" borderId="1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left" indent="4"/>
    </xf>
    <xf numFmtId="0" fontId="0" fillId="4" borderId="1" xfId="0" applyFill="1" applyBorder="1"/>
    <xf numFmtId="0" fontId="0" fillId="4" borderId="7" xfId="0" applyFill="1" applyBorder="1" applyAlignment="1">
      <alignment horizontal="left" indent="9"/>
    </xf>
    <xf numFmtId="0" fontId="0" fillId="4" borderId="8" xfId="0" applyFill="1" applyBorder="1"/>
    <xf numFmtId="0" fontId="0" fillId="2" borderId="7" xfId="0" applyFill="1" applyBorder="1" applyAlignment="1">
      <alignment horizontal="left" indent="5"/>
    </xf>
    <xf numFmtId="0" fontId="0" fillId="2" borderId="8" xfId="0" applyFill="1" applyBorder="1"/>
    <xf numFmtId="0" fontId="0" fillId="2" borderId="9" xfId="0" applyFill="1" applyBorder="1" applyAlignment="1">
      <alignment horizontal="left" indent="5"/>
    </xf>
    <xf numFmtId="0" fontId="0" fillId="2" borderId="10" xfId="0" applyFill="1" applyBorder="1"/>
    <xf numFmtId="0" fontId="0" fillId="2" borderId="11" xfId="0" applyFill="1" applyBorder="1"/>
    <xf numFmtId="0" fontId="0" fillId="3" borderId="2" xfId="0" applyFill="1" applyBorder="1"/>
    <xf numFmtId="0" fontId="0" fillId="4" borderId="4" xfId="0" applyFill="1" applyBorder="1" applyAlignment="1">
      <alignment horizontal="left" indent="9"/>
    </xf>
    <xf numFmtId="0" fontId="0" fillId="4" borderId="5" xfId="0" applyFill="1" applyBorder="1"/>
    <xf numFmtId="0" fontId="0" fillId="4" borderId="6" xfId="0" applyFill="1" applyBorder="1"/>
    <xf numFmtId="0" fontId="0" fillId="2" borderId="2" xfId="0" applyFill="1" applyBorder="1" applyAlignment="1">
      <alignment horizontal="left" indent="4"/>
    </xf>
    <xf numFmtId="0" fontId="0" fillId="2" borderId="2" xfId="0" applyFill="1" applyBorder="1"/>
    <xf numFmtId="0" fontId="0" fillId="4" borderId="10" xfId="0" applyFill="1" applyBorder="1"/>
    <xf numFmtId="0" fontId="0" fillId="4" borderId="11" xfId="0" applyFill="1" applyBorder="1"/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2" borderId="3" xfId="0" applyFill="1" applyBorder="1" applyAlignment="1">
      <alignment horizontal="left" indent="4"/>
    </xf>
    <xf numFmtId="0" fontId="0" fillId="2" borderId="3" xfId="0" applyFill="1" applyBorder="1"/>
    <xf numFmtId="0" fontId="2" fillId="0" borderId="0" xfId="0" applyFont="1"/>
    <xf numFmtId="0" fontId="4" fillId="0" borderId="15" xfId="0" applyFont="1" applyBorder="1" applyAlignment="1">
      <alignment horizontal="center" vertical="center" textRotation="180"/>
    </xf>
    <xf numFmtId="0" fontId="4" fillId="0" borderId="16" xfId="0" applyFont="1" applyBorder="1" applyAlignment="1">
      <alignment horizontal="center" vertical="center" textRotation="180"/>
    </xf>
    <xf numFmtId="0" fontId="0" fillId="4" borderId="4" xfId="0" applyFill="1" applyBorder="1" applyAlignment="1">
      <alignment horizontal="left" indent="5"/>
    </xf>
    <xf numFmtId="0" fontId="0" fillId="4" borderId="7" xfId="0" applyFill="1" applyBorder="1" applyAlignment="1">
      <alignment horizontal="left" indent="5"/>
    </xf>
    <xf numFmtId="0" fontId="0" fillId="4" borderId="9" xfId="0" applyFill="1" applyBorder="1" applyAlignment="1">
      <alignment horizontal="left" indent="5"/>
    </xf>
    <xf numFmtId="0" fontId="0" fillId="4" borderId="5" xfId="0" applyFill="1" applyBorder="1" applyAlignment="1">
      <alignment horizontal="left" indent="5"/>
    </xf>
    <xf numFmtId="0" fontId="0" fillId="4" borderId="1" xfId="0" applyFill="1" applyBorder="1" applyAlignment="1">
      <alignment horizontal="left" indent="5"/>
    </xf>
    <xf numFmtId="0" fontId="0" fillId="4" borderId="10" xfId="0" applyFill="1" applyBorder="1" applyAlignment="1">
      <alignment horizontal="left" indent="5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B719-4098-4CF8-B7CA-89CDD954E4C4}">
  <dimension ref="A1:I86"/>
  <sheetViews>
    <sheetView tabSelected="1" topLeftCell="A19" workbookViewId="0">
      <selection activeCell="E72" sqref="E72"/>
    </sheetView>
  </sheetViews>
  <sheetFormatPr defaultRowHeight="14.4" x14ac:dyDescent="0.3"/>
  <cols>
    <col min="2" max="2" width="25.6640625" customWidth="1"/>
    <col min="3" max="3" width="40.21875" bestFit="1" customWidth="1"/>
    <col min="4" max="4" width="11.44140625" bestFit="1" customWidth="1"/>
    <col min="5" max="5" width="38.6640625" bestFit="1" customWidth="1"/>
    <col min="6" max="6" width="73.109375" bestFit="1" customWidth="1"/>
  </cols>
  <sheetData>
    <row r="1" spans="1:9" x14ac:dyDescent="0.3">
      <c r="A1" s="25"/>
      <c r="B1" s="25" t="s">
        <v>119</v>
      </c>
      <c r="C1" s="25" t="s">
        <v>122</v>
      </c>
      <c r="D1" s="25" t="s">
        <v>121</v>
      </c>
      <c r="E1" s="25" t="s">
        <v>120</v>
      </c>
      <c r="F1" s="25" t="s">
        <v>168</v>
      </c>
      <c r="G1" s="25" t="s">
        <v>51</v>
      </c>
      <c r="H1" s="25" t="s">
        <v>52</v>
      </c>
      <c r="I1" s="25" t="s">
        <v>78</v>
      </c>
    </row>
    <row r="2" spans="1:9" x14ac:dyDescent="0.3">
      <c r="A2" s="26" t="s">
        <v>125</v>
      </c>
      <c r="B2" s="1" t="s">
        <v>0</v>
      </c>
      <c r="C2" s="1" t="s">
        <v>12</v>
      </c>
      <c r="D2" s="1">
        <v>11</v>
      </c>
      <c r="E2" s="1" t="s">
        <v>149</v>
      </c>
      <c r="F2" t="s">
        <v>79</v>
      </c>
      <c r="G2">
        <v>1</v>
      </c>
      <c r="H2">
        <f>D2</f>
        <v>11</v>
      </c>
      <c r="I2">
        <f>D2</f>
        <v>11</v>
      </c>
    </row>
    <row r="3" spans="1:9" x14ac:dyDescent="0.3">
      <c r="A3" s="26"/>
      <c r="B3" s="1" t="s">
        <v>1</v>
      </c>
      <c r="C3" s="1" t="s">
        <v>13</v>
      </c>
      <c r="D3" s="1">
        <v>30</v>
      </c>
      <c r="E3" s="1" t="s">
        <v>150</v>
      </c>
      <c r="F3" t="s">
        <v>80</v>
      </c>
      <c r="G3">
        <f>H2+1</f>
        <v>12</v>
      </c>
      <c r="H3">
        <f>G3+D3</f>
        <v>42</v>
      </c>
      <c r="I3">
        <f>D3</f>
        <v>30</v>
      </c>
    </row>
    <row r="4" spans="1:9" x14ac:dyDescent="0.3">
      <c r="A4" s="26"/>
      <c r="B4" s="1" t="s">
        <v>2</v>
      </c>
      <c r="C4" s="1" t="s">
        <v>14</v>
      </c>
      <c r="D4" s="1">
        <v>5</v>
      </c>
      <c r="E4" s="1" t="s">
        <v>151</v>
      </c>
      <c r="F4" t="s">
        <v>81</v>
      </c>
      <c r="G4">
        <f>H3</f>
        <v>42</v>
      </c>
      <c r="H4">
        <f>G4+D4</f>
        <v>47</v>
      </c>
      <c r="I4">
        <f>D4</f>
        <v>5</v>
      </c>
    </row>
    <row r="5" spans="1:9" x14ac:dyDescent="0.3">
      <c r="A5" s="26"/>
      <c r="B5" s="1" t="s">
        <v>3</v>
      </c>
      <c r="C5" s="1" t="s">
        <v>15</v>
      </c>
      <c r="D5" s="1">
        <v>5</v>
      </c>
      <c r="E5" s="1" t="s">
        <v>151</v>
      </c>
      <c r="F5" t="s">
        <v>82</v>
      </c>
      <c r="G5">
        <f t="shared" ref="G5:G69" si="0">H4</f>
        <v>47</v>
      </c>
      <c r="H5">
        <f>G5+D5</f>
        <v>52</v>
      </c>
      <c r="I5">
        <f>D5</f>
        <v>5</v>
      </c>
    </row>
    <row r="6" spans="1:9" x14ac:dyDescent="0.3">
      <c r="A6" s="26"/>
      <c r="B6" s="1" t="s">
        <v>4</v>
      </c>
      <c r="C6" s="1" t="s">
        <v>16</v>
      </c>
      <c r="D6" s="1">
        <v>4</v>
      </c>
      <c r="E6" s="1" t="s">
        <v>123</v>
      </c>
      <c r="F6" t="s">
        <v>83</v>
      </c>
      <c r="G6">
        <f t="shared" si="0"/>
        <v>52</v>
      </c>
      <c r="H6">
        <f>G6+D6</f>
        <v>56</v>
      </c>
      <c r="I6">
        <f>D6</f>
        <v>4</v>
      </c>
    </row>
    <row r="7" spans="1:9" x14ac:dyDescent="0.3">
      <c r="A7" s="26"/>
      <c r="B7" s="1" t="s">
        <v>5</v>
      </c>
      <c r="C7" s="1" t="s">
        <v>16</v>
      </c>
      <c r="D7" s="1">
        <v>4</v>
      </c>
      <c r="E7" s="1" t="s">
        <v>123</v>
      </c>
      <c r="F7" t="s">
        <v>84</v>
      </c>
      <c r="G7">
        <f t="shared" si="0"/>
        <v>56</v>
      </c>
      <c r="H7">
        <f>G7+D7</f>
        <v>60</v>
      </c>
      <c r="I7">
        <f>D7</f>
        <v>4</v>
      </c>
    </row>
    <row r="8" spans="1:9" x14ac:dyDescent="0.3">
      <c r="A8" s="26"/>
      <c r="B8" s="1" t="s">
        <v>6</v>
      </c>
      <c r="C8" s="1" t="s">
        <v>17</v>
      </c>
      <c r="D8" s="1">
        <v>2</v>
      </c>
      <c r="E8" s="1" t="s">
        <v>123</v>
      </c>
      <c r="F8" t="s">
        <v>85</v>
      </c>
      <c r="G8">
        <f>H7</f>
        <v>60</v>
      </c>
      <c r="H8">
        <f>G8+D8</f>
        <v>62</v>
      </c>
      <c r="I8">
        <f>D8</f>
        <v>2</v>
      </c>
    </row>
    <row r="9" spans="1:9" x14ac:dyDescent="0.3">
      <c r="A9" s="26"/>
      <c r="B9" s="1" t="s">
        <v>7</v>
      </c>
      <c r="C9" s="1" t="s">
        <v>17</v>
      </c>
      <c r="D9" s="1">
        <v>4</v>
      </c>
      <c r="E9" s="1" t="s">
        <v>123</v>
      </c>
      <c r="F9" t="s">
        <v>86</v>
      </c>
      <c r="G9">
        <f t="shared" si="0"/>
        <v>62</v>
      </c>
      <c r="H9">
        <f>G9+D9</f>
        <v>66</v>
      </c>
      <c r="I9">
        <f>D9</f>
        <v>4</v>
      </c>
    </row>
    <row r="10" spans="1:9" x14ac:dyDescent="0.3">
      <c r="A10" s="26"/>
      <c r="B10" s="1" t="s">
        <v>8</v>
      </c>
      <c r="C10" s="1" t="s">
        <v>17</v>
      </c>
      <c r="D10" s="1">
        <v>2</v>
      </c>
      <c r="E10" s="1" t="s">
        <v>123</v>
      </c>
      <c r="F10" t="s">
        <v>85</v>
      </c>
      <c r="G10">
        <f t="shared" si="0"/>
        <v>66</v>
      </c>
      <c r="H10">
        <f>G10+D10</f>
        <v>68</v>
      </c>
      <c r="I10">
        <f>D10</f>
        <v>2</v>
      </c>
    </row>
    <row r="11" spans="1:9" x14ac:dyDescent="0.3">
      <c r="A11" s="26"/>
      <c r="B11" s="3" t="s">
        <v>18</v>
      </c>
      <c r="C11" s="2" t="s">
        <v>118</v>
      </c>
      <c r="D11" s="2">
        <v>36</v>
      </c>
      <c r="E11" s="2" t="s">
        <v>153</v>
      </c>
      <c r="F11" t="s">
        <v>87</v>
      </c>
      <c r="G11">
        <f>H10</f>
        <v>68</v>
      </c>
      <c r="H11">
        <f>G11+D11</f>
        <v>104</v>
      </c>
      <c r="I11">
        <f>D11</f>
        <v>36</v>
      </c>
    </row>
    <row r="12" spans="1:9" x14ac:dyDescent="0.3">
      <c r="A12" s="26"/>
      <c r="B12" s="3" t="s">
        <v>19</v>
      </c>
      <c r="C12" s="2" t="s">
        <v>118</v>
      </c>
      <c r="D12" s="2">
        <v>3</v>
      </c>
      <c r="E12" s="2" t="s">
        <v>152</v>
      </c>
      <c r="F12" t="s">
        <v>88</v>
      </c>
      <c r="G12">
        <f t="shared" si="0"/>
        <v>104</v>
      </c>
      <c r="H12">
        <f>G12+D12</f>
        <v>107</v>
      </c>
      <c r="I12">
        <f>D12</f>
        <v>3</v>
      </c>
    </row>
    <row r="13" spans="1:9" x14ac:dyDescent="0.3">
      <c r="A13" s="26"/>
      <c r="B13" s="3" t="s">
        <v>20</v>
      </c>
      <c r="C13" s="2" t="s">
        <v>124</v>
      </c>
      <c r="D13" s="2">
        <v>4</v>
      </c>
      <c r="E13" s="2" t="s">
        <v>123</v>
      </c>
      <c r="F13" t="s">
        <v>83</v>
      </c>
      <c r="G13">
        <f t="shared" si="0"/>
        <v>107</v>
      </c>
      <c r="H13">
        <f>G13+D13</f>
        <v>111</v>
      </c>
      <c r="I13">
        <f>D13</f>
        <v>4</v>
      </c>
    </row>
    <row r="14" spans="1:9" x14ac:dyDescent="0.3">
      <c r="A14" s="26"/>
      <c r="B14" s="3" t="s">
        <v>21</v>
      </c>
      <c r="C14" s="2" t="s">
        <v>124</v>
      </c>
      <c r="D14" s="2">
        <v>4</v>
      </c>
      <c r="E14" s="2" t="s">
        <v>123</v>
      </c>
      <c r="F14" t="s">
        <v>83</v>
      </c>
      <c r="G14">
        <f t="shared" si="0"/>
        <v>111</v>
      </c>
      <c r="H14">
        <f>G14+D14</f>
        <v>115</v>
      </c>
      <c r="I14">
        <f>D14</f>
        <v>4</v>
      </c>
    </row>
    <row r="15" spans="1:9" x14ac:dyDescent="0.3">
      <c r="A15" s="26"/>
      <c r="B15" s="3" t="s">
        <v>22</v>
      </c>
      <c r="C15" s="2" t="s">
        <v>124</v>
      </c>
      <c r="D15" s="2">
        <v>4</v>
      </c>
      <c r="E15" s="2" t="s">
        <v>123</v>
      </c>
      <c r="F15" t="s">
        <v>83</v>
      </c>
      <c r="G15">
        <f t="shared" si="0"/>
        <v>115</v>
      </c>
      <c r="H15">
        <f>G15+D15</f>
        <v>119</v>
      </c>
      <c r="I15">
        <f>D15</f>
        <v>4</v>
      </c>
    </row>
    <row r="16" spans="1:9" x14ac:dyDescent="0.3">
      <c r="A16" s="26"/>
      <c r="B16" s="3" t="s">
        <v>23</v>
      </c>
      <c r="C16" s="2" t="s">
        <v>124</v>
      </c>
      <c r="D16" s="2">
        <v>4</v>
      </c>
      <c r="E16" s="2" t="s">
        <v>123</v>
      </c>
      <c r="F16" t="s">
        <v>83</v>
      </c>
      <c r="G16">
        <f t="shared" si="0"/>
        <v>119</v>
      </c>
      <c r="H16">
        <f>G16+D16</f>
        <v>123</v>
      </c>
      <c r="I16">
        <f>D16</f>
        <v>4</v>
      </c>
    </row>
    <row r="17" spans="1:9" x14ac:dyDescent="0.3">
      <c r="A17" s="26"/>
      <c r="B17" s="3" t="s">
        <v>24</v>
      </c>
      <c r="C17" s="2" t="s">
        <v>124</v>
      </c>
      <c r="D17" s="2">
        <v>4</v>
      </c>
      <c r="E17" s="2" t="s">
        <v>123</v>
      </c>
      <c r="F17" t="s">
        <v>83</v>
      </c>
      <c r="G17">
        <f t="shared" si="0"/>
        <v>123</v>
      </c>
      <c r="H17">
        <f>G17+D17</f>
        <v>127</v>
      </c>
      <c r="I17">
        <f>D17</f>
        <v>4</v>
      </c>
    </row>
    <row r="18" spans="1:9" x14ac:dyDescent="0.3">
      <c r="A18" s="26"/>
      <c r="B18" s="1" t="s">
        <v>9</v>
      </c>
      <c r="C18" s="1" t="s">
        <v>50</v>
      </c>
      <c r="D18" s="1">
        <v>5</v>
      </c>
      <c r="E18" s="1" t="s">
        <v>117</v>
      </c>
      <c r="F18" t="s">
        <v>89</v>
      </c>
      <c r="G18">
        <f t="shared" si="0"/>
        <v>127</v>
      </c>
      <c r="H18">
        <f>G18+D18</f>
        <v>132</v>
      </c>
      <c r="I18">
        <f>D18</f>
        <v>5</v>
      </c>
    </row>
    <row r="19" spans="1:9" x14ac:dyDescent="0.3">
      <c r="A19" s="26"/>
      <c r="B19" s="1" t="s">
        <v>10</v>
      </c>
      <c r="C19" s="1" t="s">
        <v>53</v>
      </c>
      <c r="D19" s="1">
        <v>8</v>
      </c>
      <c r="E19" s="1" t="s">
        <v>154</v>
      </c>
      <c r="F19" t="s">
        <v>90</v>
      </c>
      <c r="G19">
        <f t="shared" si="0"/>
        <v>132</v>
      </c>
      <c r="H19">
        <f>G19+D19</f>
        <v>140</v>
      </c>
      <c r="I19">
        <f>D19</f>
        <v>8</v>
      </c>
    </row>
    <row r="20" spans="1:9" ht="15" thickBot="1" x14ac:dyDescent="0.35">
      <c r="A20" s="27"/>
      <c r="B20" s="12" t="s">
        <v>11</v>
      </c>
      <c r="C20" s="12" t="s">
        <v>55</v>
      </c>
      <c r="D20" s="12">
        <v>3</v>
      </c>
      <c r="E20" s="12" t="s">
        <v>123</v>
      </c>
      <c r="F20" t="s">
        <v>91</v>
      </c>
      <c r="G20">
        <f t="shared" si="0"/>
        <v>140</v>
      </c>
      <c r="H20">
        <f>G20+D20</f>
        <v>143</v>
      </c>
      <c r="I20">
        <f>D20</f>
        <v>3</v>
      </c>
    </row>
    <row r="21" spans="1:9" x14ac:dyDescent="0.3">
      <c r="A21" s="20" t="s">
        <v>126</v>
      </c>
      <c r="B21" s="13" t="s">
        <v>39</v>
      </c>
      <c r="C21" s="14" t="s">
        <v>56</v>
      </c>
      <c r="D21" s="14">
        <v>15</v>
      </c>
      <c r="E21" s="15" t="s">
        <v>155</v>
      </c>
      <c r="F21" t="s">
        <v>92</v>
      </c>
      <c r="G21">
        <f t="shared" si="0"/>
        <v>143</v>
      </c>
      <c r="H21">
        <f>G21+D21</f>
        <v>158</v>
      </c>
      <c r="I21">
        <f>D21</f>
        <v>15</v>
      </c>
    </row>
    <row r="22" spans="1:9" x14ac:dyDescent="0.3">
      <c r="A22" s="21"/>
      <c r="B22" s="5" t="s">
        <v>40</v>
      </c>
      <c r="C22" s="4" t="s">
        <v>146</v>
      </c>
      <c r="D22" s="4">
        <v>12</v>
      </c>
      <c r="E22" s="6" t="s">
        <v>156</v>
      </c>
      <c r="F22" t="s">
        <v>93</v>
      </c>
      <c r="G22">
        <f t="shared" si="0"/>
        <v>158</v>
      </c>
      <c r="H22">
        <f>G22+D22</f>
        <v>170</v>
      </c>
      <c r="I22">
        <f>D22</f>
        <v>12</v>
      </c>
    </row>
    <row r="23" spans="1:9" x14ac:dyDescent="0.3">
      <c r="A23" s="21"/>
      <c r="B23" s="7" t="s">
        <v>25</v>
      </c>
      <c r="C23" s="2" t="s">
        <v>147</v>
      </c>
      <c r="D23" s="2">
        <v>30</v>
      </c>
      <c r="E23" s="8" t="s">
        <v>157</v>
      </c>
      <c r="F23" t="s">
        <v>94</v>
      </c>
      <c r="G23">
        <f t="shared" si="0"/>
        <v>170</v>
      </c>
      <c r="H23">
        <f>G23+D23</f>
        <v>200</v>
      </c>
      <c r="I23">
        <f>D23</f>
        <v>30</v>
      </c>
    </row>
    <row r="24" spans="1:9" x14ac:dyDescent="0.3">
      <c r="A24" s="21"/>
      <c r="B24" s="7" t="s">
        <v>26</v>
      </c>
      <c r="C24" s="2" t="s">
        <v>148</v>
      </c>
      <c r="D24" s="2">
        <v>5</v>
      </c>
      <c r="E24" s="8" t="s">
        <v>54</v>
      </c>
      <c r="F24" t="s">
        <v>89</v>
      </c>
      <c r="G24">
        <f t="shared" si="0"/>
        <v>200</v>
      </c>
      <c r="H24">
        <f>G24+D24</f>
        <v>205</v>
      </c>
      <c r="I24">
        <f>D24</f>
        <v>5</v>
      </c>
    </row>
    <row r="25" spans="1:9" x14ac:dyDescent="0.3">
      <c r="A25" s="21"/>
      <c r="B25" s="7" t="s">
        <v>27</v>
      </c>
      <c r="C25" s="2" t="s">
        <v>58</v>
      </c>
      <c r="D25" s="2">
        <v>5</v>
      </c>
      <c r="E25" s="8" t="s">
        <v>54</v>
      </c>
      <c r="F25" t="s">
        <v>95</v>
      </c>
      <c r="G25">
        <f t="shared" si="0"/>
        <v>205</v>
      </c>
      <c r="H25">
        <f>G25+D25</f>
        <v>210</v>
      </c>
      <c r="I25">
        <f>D25</f>
        <v>5</v>
      </c>
    </row>
    <row r="26" spans="1:9" x14ac:dyDescent="0.3">
      <c r="A26" s="21"/>
      <c r="B26" s="7" t="s">
        <v>28</v>
      </c>
      <c r="C26" s="2" t="s">
        <v>59</v>
      </c>
      <c r="D26" s="2">
        <v>5</v>
      </c>
      <c r="E26" s="8" t="s">
        <v>54</v>
      </c>
      <c r="F26" t="s">
        <v>95</v>
      </c>
      <c r="G26">
        <f t="shared" si="0"/>
        <v>210</v>
      </c>
      <c r="H26">
        <f>G26+D26</f>
        <v>215</v>
      </c>
      <c r="I26">
        <f>D26</f>
        <v>5</v>
      </c>
    </row>
    <row r="27" spans="1:9" x14ac:dyDescent="0.3">
      <c r="A27" s="21"/>
      <c r="B27" s="7" t="s">
        <v>29</v>
      </c>
      <c r="C27" s="2" t="s">
        <v>60</v>
      </c>
      <c r="D27" s="2">
        <v>5</v>
      </c>
      <c r="E27" s="8" t="s">
        <v>54</v>
      </c>
      <c r="F27" t="s">
        <v>96</v>
      </c>
      <c r="G27">
        <f t="shared" si="0"/>
        <v>215</v>
      </c>
      <c r="H27">
        <f>G27+D27</f>
        <v>220</v>
      </c>
      <c r="I27">
        <f>D27</f>
        <v>5</v>
      </c>
    </row>
    <row r="28" spans="1:9" x14ac:dyDescent="0.3">
      <c r="A28" s="21"/>
      <c r="B28" s="7" t="s">
        <v>30</v>
      </c>
      <c r="C28" s="2" t="s">
        <v>61</v>
      </c>
      <c r="D28" s="2">
        <v>5</v>
      </c>
      <c r="E28" s="8" t="s">
        <v>54</v>
      </c>
      <c r="F28" t="s">
        <v>97</v>
      </c>
      <c r="G28">
        <f t="shared" si="0"/>
        <v>220</v>
      </c>
      <c r="H28">
        <f>G28+D28</f>
        <v>225</v>
      </c>
      <c r="I28">
        <f>D28</f>
        <v>5</v>
      </c>
    </row>
    <row r="29" spans="1:9" x14ac:dyDescent="0.3">
      <c r="A29" s="21"/>
      <c r="B29" s="7" t="s">
        <v>31</v>
      </c>
      <c r="C29" s="2" t="s">
        <v>62</v>
      </c>
      <c r="D29" s="2">
        <v>5</v>
      </c>
      <c r="E29" s="8" t="s">
        <v>54</v>
      </c>
      <c r="F29" t="s">
        <v>98</v>
      </c>
      <c r="G29">
        <f t="shared" si="0"/>
        <v>225</v>
      </c>
      <c r="H29">
        <f>G29+D29</f>
        <v>230</v>
      </c>
      <c r="I29">
        <f>D29</f>
        <v>5</v>
      </c>
    </row>
    <row r="30" spans="1:9" x14ac:dyDescent="0.3">
      <c r="A30" s="21"/>
      <c r="B30" s="7" t="s">
        <v>32</v>
      </c>
      <c r="C30" s="2" t="s">
        <v>63</v>
      </c>
      <c r="D30" s="2">
        <v>4</v>
      </c>
      <c r="E30" s="8" t="s">
        <v>64</v>
      </c>
      <c r="F30" t="s">
        <v>99</v>
      </c>
      <c r="G30">
        <f t="shared" si="0"/>
        <v>230</v>
      </c>
      <c r="H30">
        <f>G30+D30</f>
        <v>234</v>
      </c>
      <c r="I30">
        <f>D30</f>
        <v>4</v>
      </c>
    </row>
    <row r="31" spans="1:9" x14ac:dyDescent="0.3">
      <c r="A31" s="21"/>
      <c r="B31" s="7" t="s">
        <v>33</v>
      </c>
      <c r="C31" s="2" t="s">
        <v>161</v>
      </c>
      <c r="D31" s="2">
        <v>5</v>
      </c>
      <c r="E31" s="8" t="s">
        <v>54</v>
      </c>
      <c r="F31" t="s">
        <v>100</v>
      </c>
      <c r="G31">
        <f t="shared" si="0"/>
        <v>234</v>
      </c>
      <c r="H31">
        <f>G31+D31</f>
        <v>239</v>
      </c>
      <c r="I31">
        <f>D31</f>
        <v>5</v>
      </c>
    </row>
    <row r="32" spans="1:9" x14ac:dyDescent="0.3">
      <c r="A32" s="21"/>
      <c r="B32" s="7" t="s">
        <v>34</v>
      </c>
      <c r="C32" s="2" t="s">
        <v>166</v>
      </c>
      <c r="D32" s="2">
        <v>6</v>
      </c>
      <c r="E32" s="8" t="s">
        <v>165</v>
      </c>
      <c r="F32" t="s">
        <v>101</v>
      </c>
      <c r="G32">
        <f t="shared" si="0"/>
        <v>239</v>
      </c>
      <c r="H32">
        <f>G32+D32</f>
        <v>245</v>
      </c>
      <c r="I32">
        <f>D32</f>
        <v>6</v>
      </c>
    </row>
    <row r="33" spans="1:9" x14ac:dyDescent="0.3">
      <c r="A33" s="21"/>
      <c r="B33" s="7" t="s">
        <v>35</v>
      </c>
      <c r="C33" s="2" t="s">
        <v>167</v>
      </c>
      <c r="D33" s="2">
        <v>1</v>
      </c>
      <c r="E33" s="8" t="s">
        <v>162</v>
      </c>
      <c r="F33" t="s">
        <v>102</v>
      </c>
      <c r="G33">
        <f t="shared" si="0"/>
        <v>245</v>
      </c>
      <c r="H33">
        <f>G33+D33</f>
        <v>246</v>
      </c>
      <c r="I33">
        <f>D33</f>
        <v>1</v>
      </c>
    </row>
    <row r="34" spans="1:9" x14ac:dyDescent="0.3">
      <c r="A34" s="21"/>
      <c r="B34" s="7" t="s">
        <v>36</v>
      </c>
      <c r="C34" s="2" t="s">
        <v>163</v>
      </c>
      <c r="D34" s="2">
        <v>8</v>
      </c>
      <c r="E34" s="8" t="s">
        <v>160</v>
      </c>
      <c r="F34" t="s">
        <v>90</v>
      </c>
      <c r="G34">
        <f t="shared" si="0"/>
        <v>246</v>
      </c>
      <c r="H34">
        <f>G34+D34</f>
        <v>254</v>
      </c>
      <c r="I34">
        <f>D34</f>
        <v>8</v>
      </c>
    </row>
    <row r="35" spans="1:9" x14ac:dyDescent="0.3">
      <c r="A35" s="21"/>
      <c r="B35" s="7" t="s">
        <v>37</v>
      </c>
      <c r="C35" s="2" t="s">
        <v>158</v>
      </c>
      <c r="D35" s="2">
        <v>1</v>
      </c>
      <c r="E35" s="8"/>
      <c r="F35" t="s">
        <v>103</v>
      </c>
      <c r="G35">
        <f t="shared" si="0"/>
        <v>254</v>
      </c>
      <c r="H35">
        <f>G35+D35</f>
        <v>255</v>
      </c>
      <c r="I35">
        <f>D35</f>
        <v>1</v>
      </c>
    </row>
    <row r="36" spans="1:9" ht="15" thickBot="1" x14ac:dyDescent="0.35">
      <c r="A36" s="22"/>
      <c r="B36" s="9" t="s">
        <v>38</v>
      </c>
      <c r="C36" s="10" t="s">
        <v>164</v>
      </c>
      <c r="D36" s="10">
        <v>1</v>
      </c>
      <c r="E36" s="11" t="s">
        <v>123</v>
      </c>
      <c r="F36" t="s">
        <v>104</v>
      </c>
      <c r="G36">
        <f t="shared" si="0"/>
        <v>255</v>
      </c>
      <c r="H36">
        <f>G36+D36</f>
        <v>256</v>
      </c>
      <c r="I36">
        <f>D36</f>
        <v>1</v>
      </c>
    </row>
    <row r="37" spans="1:9" x14ac:dyDescent="0.3">
      <c r="A37" s="20" t="s">
        <v>127</v>
      </c>
      <c r="B37" s="13" t="s">
        <v>39</v>
      </c>
      <c r="C37" s="14" t="s">
        <v>65</v>
      </c>
      <c r="D37" s="14">
        <v>15</v>
      </c>
      <c r="E37" s="15"/>
      <c r="F37" t="s">
        <v>105</v>
      </c>
      <c r="G37">
        <f t="shared" si="0"/>
        <v>256</v>
      </c>
      <c r="H37">
        <f>G37+D37</f>
        <v>271</v>
      </c>
      <c r="I37">
        <f>D37</f>
        <v>15</v>
      </c>
    </row>
    <row r="38" spans="1:9" x14ac:dyDescent="0.3">
      <c r="A38" s="21"/>
      <c r="B38" s="5" t="s">
        <v>40</v>
      </c>
      <c r="C38" s="4" t="s">
        <v>140</v>
      </c>
      <c r="D38" s="4">
        <v>12</v>
      </c>
      <c r="E38" s="6"/>
      <c r="F38" t="s">
        <v>106</v>
      </c>
      <c r="G38">
        <f t="shared" si="0"/>
        <v>271</v>
      </c>
      <c r="H38">
        <f>G38+D38</f>
        <v>283</v>
      </c>
      <c r="I38">
        <f>D38</f>
        <v>12</v>
      </c>
    </row>
    <row r="39" spans="1:9" x14ac:dyDescent="0.3">
      <c r="A39" s="21"/>
      <c r="B39" s="7" t="s">
        <v>25</v>
      </c>
      <c r="C39" s="2" t="s">
        <v>144</v>
      </c>
      <c r="D39" s="2">
        <v>30</v>
      </c>
      <c r="E39" s="8"/>
      <c r="F39" t="s">
        <v>107</v>
      </c>
      <c r="G39">
        <f t="shared" si="0"/>
        <v>283</v>
      </c>
      <c r="H39">
        <f>G39+D39</f>
        <v>313</v>
      </c>
      <c r="I39">
        <f>D39</f>
        <v>30</v>
      </c>
    </row>
    <row r="40" spans="1:9" x14ac:dyDescent="0.3">
      <c r="A40" s="21"/>
      <c r="B40" s="7" t="s">
        <v>26</v>
      </c>
      <c r="C40" s="2" t="s">
        <v>143</v>
      </c>
      <c r="D40" s="2">
        <v>5</v>
      </c>
      <c r="E40" s="8" t="s">
        <v>176</v>
      </c>
      <c r="F40" t="s">
        <v>108</v>
      </c>
      <c r="G40">
        <f t="shared" si="0"/>
        <v>313</v>
      </c>
      <c r="H40">
        <f>G40+D40</f>
        <v>318</v>
      </c>
      <c r="I40">
        <f>D40</f>
        <v>5</v>
      </c>
    </row>
    <row r="41" spans="1:9" x14ac:dyDescent="0.3">
      <c r="A41" s="21"/>
      <c r="B41" s="7" t="s">
        <v>27</v>
      </c>
      <c r="C41" s="2" t="s">
        <v>66</v>
      </c>
      <c r="D41" s="2">
        <v>5</v>
      </c>
      <c r="E41" s="8" t="s">
        <v>176</v>
      </c>
      <c r="F41" t="s">
        <v>108</v>
      </c>
      <c r="G41">
        <f t="shared" si="0"/>
        <v>318</v>
      </c>
      <c r="H41">
        <f>G41+D41</f>
        <v>323</v>
      </c>
      <c r="I41">
        <f>D41</f>
        <v>5</v>
      </c>
    </row>
    <row r="42" spans="1:9" x14ac:dyDescent="0.3">
      <c r="A42" s="21"/>
      <c r="B42" s="7" t="s">
        <v>28</v>
      </c>
      <c r="C42" s="2" t="s">
        <v>67</v>
      </c>
      <c r="D42" s="2">
        <v>5</v>
      </c>
      <c r="E42" s="8" t="s">
        <v>176</v>
      </c>
      <c r="F42" t="s">
        <v>108</v>
      </c>
      <c r="G42">
        <f t="shared" si="0"/>
        <v>323</v>
      </c>
      <c r="H42">
        <f>G42+D42</f>
        <v>328</v>
      </c>
      <c r="I42">
        <f>D42</f>
        <v>5</v>
      </c>
    </row>
    <row r="43" spans="1:9" x14ac:dyDescent="0.3">
      <c r="A43" s="21"/>
      <c r="B43" s="7" t="s">
        <v>29</v>
      </c>
      <c r="C43" s="2" t="s">
        <v>68</v>
      </c>
      <c r="D43" s="2">
        <v>5</v>
      </c>
      <c r="E43" s="8" t="s">
        <v>176</v>
      </c>
      <c r="F43" t="s">
        <v>108</v>
      </c>
      <c r="G43">
        <f t="shared" si="0"/>
        <v>328</v>
      </c>
      <c r="H43">
        <f>G43+D43</f>
        <v>333</v>
      </c>
      <c r="I43">
        <f>D43</f>
        <v>5</v>
      </c>
    </row>
    <row r="44" spans="1:9" x14ac:dyDescent="0.3">
      <c r="A44" s="21"/>
      <c r="B44" s="7" t="s">
        <v>30</v>
      </c>
      <c r="C44" s="2" t="s">
        <v>69</v>
      </c>
      <c r="D44" s="2">
        <v>5</v>
      </c>
      <c r="E44" s="8" t="s">
        <v>176</v>
      </c>
      <c r="F44" t="s">
        <v>108</v>
      </c>
      <c r="G44">
        <f t="shared" si="0"/>
        <v>333</v>
      </c>
      <c r="H44">
        <f>G44+D44</f>
        <v>338</v>
      </c>
      <c r="I44">
        <f>D44</f>
        <v>5</v>
      </c>
    </row>
    <row r="45" spans="1:9" x14ac:dyDescent="0.3">
      <c r="A45" s="21"/>
      <c r="B45" s="7" t="s">
        <v>31</v>
      </c>
      <c r="C45" s="2" t="s">
        <v>70</v>
      </c>
      <c r="D45" s="2">
        <v>5</v>
      </c>
      <c r="E45" s="8" t="s">
        <v>176</v>
      </c>
      <c r="F45" t="s">
        <v>108</v>
      </c>
      <c r="G45">
        <f t="shared" si="0"/>
        <v>338</v>
      </c>
      <c r="H45">
        <f>G45+D45</f>
        <v>343</v>
      </c>
      <c r="I45">
        <f>D45</f>
        <v>5</v>
      </c>
    </row>
    <row r="46" spans="1:9" x14ac:dyDescent="0.3">
      <c r="A46" s="21"/>
      <c r="B46" s="7" t="s">
        <v>32</v>
      </c>
      <c r="C46" s="2" t="s">
        <v>76</v>
      </c>
      <c r="D46" s="2">
        <v>4</v>
      </c>
      <c r="E46" s="8" t="s">
        <v>176</v>
      </c>
      <c r="F46" t="s">
        <v>109</v>
      </c>
      <c r="G46">
        <f t="shared" si="0"/>
        <v>343</v>
      </c>
      <c r="H46">
        <f>G46+D46</f>
        <v>347</v>
      </c>
      <c r="I46">
        <f>D46</f>
        <v>4</v>
      </c>
    </row>
    <row r="47" spans="1:9" x14ac:dyDescent="0.3">
      <c r="A47" s="21"/>
      <c r="B47" s="7" t="s">
        <v>33</v>
      </c>
      <c r="C47" s="2" t="s">
        <v>174</v>
      </c>
      <c r="D47" s="2">
        <v>5</v>
      </c>
      <c r="E47" s="8" t="s">
        <v>176</v>
      </c>
      <c r="F47" t="s">
        <v>108</v>
      </c>
      <c r="G47">
        <f t="shared" si="0"/>
        <v>347</v>
      </c>
      <c r="H47">
        <f>G47+D47</f>
        <v>352</v>
      </c>
      <c r="I47">
        <f>D47</f>
        <v>5</v>
      </c>
    </row>
    <row r="48" spans="1:9" x14ac:dyDescent="0.3">
      <c r="A48" s="21"/>
      <c r="B48" s="7" t="s">
        <v>34</v>
      </c>
      <c r="C48" s="2" t="s">
        <v>173</v>
      </c>
      <c r="D48" s="2">
        <v>6</v>
      </c>
      <c r="E48" s="8" t="s">
        <v>177</v>
      </c>
      <c r="F48" t="s">
        <v>110</v>
      </c>
      <c r="G48">
        <f t="shared" si="0"/>
        <v>352</v>
      </c>
      <c r="H48">
        <f>G48+D48</f>
        <v>358</v>
      </c>
      <c r="I48">
        <f>D48</f>
        <v>6</v>
      </c>
    </row>
    <row r="49" spans="1:9" x14ac:dyDescent="0.3">
      <c r="A49" s="21"/>
      <c r="B49" s="7" t="s">
        <v>35</v>
      </c>
      <c r="C49" s="2" t="s">
        <v>172</v>
      </c>
      <c r="D49" s="2">
        <v>1</v>
      </c>
      <c r="E49" s="8" t="s">
        <v>177</v>
      </c>
      <c r="F49" t="s">
        <v>111</v>
      </c>
      <c r="G49">
        <f t="shared" si="0"/>
        <v>358</v>
      </c>
      <c r="H49">
        <f>G49+D49</f>
        <v>359</v>
      </c>
      <c r="I49">
        <f>D49</f>
        <v>1</v>
      </c>
    </row>
    <row r="50" spans="1:9" x14ac:dyDescent="0.3">
      <c r="A50" s="21"/>
      <c r="B50" s="7" t="s">
        <v>36</v>
      </c>
      <c r="C50" s="2" t="s">
        <v>163</v>
      </c>
      <c r="D50" s="2">
        <v>8</v>
      </c>
      <c r="E50" s="8" t="s">
        <v>160</v>
      </c>
      <c r="F50" t="s">
        <v>112</v>
      </c>
      <c r="G50">
        <f t="shared" si="0"/>
        <v>359</v>
      </c>
      <c r="H50">
        <f>G50+D50</f>
        <v>367</v>
      </c>
      <c r="I50">
        <f>D50</f>
        <v>8</v>
      </c>
    </row>
    <row r="51" spans="1:9" x14ac:dyDescent="0.3">
      <c r="A51" s="21"/>
      <c r="B51" s="7" t="s">
        <v>37</v>
      </c>
      <c r="C51" s="2" t="s">
        <v>158</v>
      </c>
      <c r="D51" s="2">
        <v>1</v>
      </c>
      <c r="E51" s="8" t="s">
        <v>177</v>
      </c>
      <c r="F51" t="s">
        <v>111</v>
      </c>
      <c r="G51">
        <f t="shared" si="0"/>
        <v>367</v>
      </c>
      <c r="H51">
        <f>G51+D51</f>
        <v>368</v>
      </c>
      <c r="I51">
        <f>D51</f>
        <v>1</v>
      </c>
    </row>
    <row r="52" spans="1:9" ht="15" thickBot="1" x14ac:dyDescent="0.35">
      <c r="A52" s="22"/>
      <c r="B52" s="9" t="s">
        <v>38</v>
      </c>
      <c r="C52" s="10" t="s">
        <v>164</v>
      </c>
      <c r="D52" s="10">
        <v>1</v>
      </c>
      <c r="E52" s="11" t="s">
        <v>123</v>
      </c>
      <c r="F52" t="s">
        <v>111</v>
      </c>
      <c r="G52">
        <f t="shared" si="0"/>
        <v>368</v>
      </c>
      <c r="H52">
        <f>G52+D52</f>
        <v>369</v>
      </c>
      <c r="I52">
        <f>D52</f>
        <v>1</v>
      </c>
    </row>
    <row r="53" spans="1:9" x14ac:dyDescent="0.3">
      <c r="A53" s="20" t="s">
        <v>128</v>
      </c>
      <c r="B53" s="13" t="s">
        <v>39</v>
      </c>
      <c r="C53" s="14" t="s">
        <v>57</v>
      </c>
      <c r="D53" s="14">
        <v>15</v>
      </c>
      <c r="E53" s="15"/>
      <c r="F53" t="s">
        <v>105</v>
      </c>
      <c r="G53">
        <f t="shared" si="0"/>
        <v>369</v>
      </c>
      <c r="H53">
        <f>G53+D53</f>
        <v>384</v>
      </c>
      <c r="I53">
        <f>D53</f>
        <v>15</v>
      </c>
    </row>
    <row r="54" spans="1:9" x14ac:dyDescent="0.3">
      <c r="A54" s="21"/>
      <c r="B54" s="5" t="s">
        <v>40</v>
      </c>
      <c r="C54" s="4" t="s">
        <v>141</v>
      </c>
      <c r="D54" s="4">
        <v>12</v>
      </c>
      <c r="E54" s="6"/>
      <c r="F54" t="s">
        <v>106</v>
      </c>
      <c r="G54">
        <f t="shared" si="0"/>
        <v>384</v>
      </c>
      <c r="H54">
        <f>G54+D54</f>
        <v>396</v>
      </c>
      <c r="I54">
        <f>D54</f>
        <v>12</v>
      </c>
    </row>
    <row r="55" spans="1:9" x14ac:dyDescent="0.3">
      <c r="A55" s="21"/>
      <c r="B55" s="7" t="s">
        <v>25</v>
      </c>
      <c r="C55" s="2" t="s">
        <v>142</v>
      </c>
      <c r="D55" s="2">
        <v>30</v>
      </c>
      <c r="E55" s="8"/>
      <c r="F55" t="s">
        <v>107</v>
      </c>
      <c r="G55">
        <f t="shared" si="0"/>
        <v>396</v>
      </c>
      <c r="H55">
        <f>G55+D55</f>
        <v>426</v>
      </c>
      <c r="I55">
        <f>D55</f>
        <v>30</v>
      </c>
    </row>
    <row r="56" spans="1:9" x14ac:dyDescent="0.3">
      <c r="A56" s="21"/>
      <c r="B56" s="7" t="s">
        <v>26</v>
      </c>
      <c r="C56" s="2" t="s">
        <v>145</v>
      </c>
      <c r="D56" s="2">
        <v>5</v>
      </c>
      <c r="E56" s="8" t="s">
        <v>178</v>
      </c>
      <c r="F56" t="s">
        <v>108</v>
      </c>
      <c r="G56">
        <f t="shared" si="0"/>
        <v>426</v>
      </c>
      <c r="H56">
        <f>G56+D56</f>
        <v>431</v>
      </c>
      <c r="I56">
        <f>D56</f>
        <v>5</v>
      </c>
    </row>
    <row r="57" spans="1:9" x14ac:dyDescent="0.3">
      <c r="A57" s="21"/>
      <c r="B57" s="7" t="s">
        <v>27</v>
      </c>
      <c r="C57" s="2" t="s">
        <v>71</v>
      </c>
      <c r="D57" s="2">
        <v>5</v>
      </c>
      <c r="E57" s="8" t="s">
        <v>179</v>
      </c>
      <c r="F57" t="s">
        <v>108</v>
      </c>
      <c r="G57">
        <f t="shared" si="0"/>
        <v>431</v>
      </c>
      <c r="H57">
        <f>G57+D57</f>
        <v>436</v>
      </c>
      <c r="I57">
        <f>D57</f>
        <v>5</v>
      </c>
    </row>
    <row r="58" spans="1:9" x14ac:dyDescent="0.3">
      <c r="A58" s="21"/>
      <c r="B58" s="7" t="s">
        <v>28</v>
      </c>
      <c r="C58" s="2" t="s">
        <v>72</v>
      </c>
      <c r="D58" s="2">
        <v>5</v>
      </c>
      <c r="E58" s="8" t="s">
        <v>180</v>
      </c>
      <c r="F58" t="s">
        <v>108</v>
      </c>
      <c r="G58">
        <f t="shared" si="0"/>
        <v>436</v>
      </c>
      <c r="H58">
        <f>G58+D58</f>
        <v>441</v>
      </c>
      <c r="I58">
        <f>D58</f>
        <v>5</v>
      </c>
    </row>
    <row r="59" spans="1:9" x14ac:dyDescent="0.3">
      <c r="A59" s="21"/>
      <c r="B59" s="7" t="s">
        <v>29</v>
      </c>
      <c r="C59" s="2" t="s">
        <v>73</v>
      </c>
      <c r="D59" s="2">
        <v>5</v>
      </c>
      <c r="E59" s="8" t="s">
        <v>181</v>
      </c>
      <c r="F59" t="s">
        <v>108</v>
      </c>
      <c r="G59">
        <f t="shared" si="0"/>
        <v>441</v>
      </c>
      <c r="H59">
        <f>G59+D59</f>
        <v>446</v>
      </c>
      <c r="I59">
        <f>D59</f>
        <v>5</v>
      </c>
    </row>
    <row r="60" spans="1:9" x14ac:dyDescent="0.3">
      <c r="A60" s="21"/>
      <c r="B60" s="7" t="s">
        <v>30</v>
      </c>
      <c r="C60" s="2" t="s">
        <v>74</v>
      </c>
      <c r="D60" s="2">
        <v>5</v>
      </c>
      <c r="E60" s="8" t="s">
        <v>182</v>
      </c>
      <c r="F60" t="s">
        <v>108</v>
      </c>
      <c r="G60">
        <f t="shared" si="0"/>
        <v>446</v>
      </c>
      <c r="H60">
        <f>G60+D60</f>
        <v>451</v>
      </c>
      <c r="I60">
        <f>D60</f>
        <v>5</v>
      </c>
    </row>
    <row r="61" spans="1:9" x14ac:dyDescent="0.3">
      <c r="A61" s="21"/>
      <c r="B61" s="7" t="s">
        <v>31</v>
      </c>
      <c r="C61" s="2" t="s">
        <v>75</v>
      </c>
      <c r="D61" s="2">
        <v>5</v>
      </c>
      <c r="E61" s="8" t="s">
        <v>183</v>
      </c>
      <c r="F61" t="s">
        <v>108</v>
      </c>
      <c r="G61">
        <f t="shared" si="0"/>
        <v>451</v>
      </c>
      <c r="H61">
        <f>G61+D61</f>
        <v>456</v>
      </c>
      <c r="I61">
        <f>D61</f>
        <v>5</v>
      </c>
    </row>
    <row r="62" spans="1:9" x14ac:dyDescent="0.3">
      <c r="A62" s="21"/>
      <c r="B62" s="7" t="s">
        <v>32</v>
      </c>
      <c r="C62" s="2" t="s">
        <v>164</v>
      </c>
      <c r="D62" s="2">
        <v>4</v>
      </c>
      <c r="E62" s="8" t="s">
        <v>184</v>
      </c>
      <c r="F62" t="s">
        <v>109</v>
      </c>
      <c r="G62">
        <f t="shared" si="0"/>
        <v>456</v>
      </c>
      <c r="H62">
        <f>G62+D62</f>
        <v>460</v>
      </c>
      <c r="I62">
        <f>D62</f>
        <v>4</v>
      </c>
    </row>
    <row r="63" spans="1:9" x14ac:dyDescent="0.3">
      <c r="A63" s="21"/>
      <c r="B63" s="7" t="s">
        <v>33</v>
      </c>
      <c r="C63" s="2" t="s">
        <v>169</v>
      </c>
      <c r="D63" s="2">
        <v>5</v>
      </c>
      <c r="E63" s="8" t="s">
        <v>185</v>
      </c>
      <c r="F63" t="s">
        <v>108</v>
      </c>
      <c r="G63">
        <f t="shared" si="0"/>
        <v>460</v>
      </c>
      <c r="H63">
        <f>G63+D63</f>
        <v>465</v>
      </c>
      <c r="I63">
        <f>D63</f>
        <v>5</v>
      </c>
    </row>
    <row r="64" spans="1:9" x14ac:dyDescent="0.3">
      <c r="A64" s="21"/>
      <c r="B64" s="7" t="s">
        <v>34</v>
      </c>
      <c r="C64" s="2" t="s">
        <v>170</v>
      </c>
      <c r="D64" s="2">
        <v>6</v>
      </c>
      <c r="E64" s="8" t="s">
        <v>175</v>
      </c>
      <c r="F64" t="s">
        <v>110</v>
      </c>
      <c r="G64">
        <f t="shared" si="0"/>
        <v>465</v>
      </c>
      <c r="H64">
        <f>G64+D64</f>
        <v>471</v>
      </c>
      <c r="I64">
        <f>D64</f>
        <v>6</v>
      </c>
    </row>
    <row r="65" spans="1:9" x14ac:dyDescent="0.3">
      <c r="A65" s="21"/>
      <c r="B65" s="7" t="s">
        <v>35</v>
      </c>
      <c r="C65" s="2" t="s">
        <v>171</v>
      </c>
      <c r="D65" s="2">
        <v>1</v>
      </c>
      <c r="E65" s="8" t="s">
        <v>175</v>
      </c>
      <c r="F65" t="s">
        <v>111</v>
      </c>
      <c r="G65">
        <f t="shared" si="0"/>
        <v>471</v>
      </c>
      <c r="H65">
        <f>G65+D65</f>
        <v>472</v>
      </c>
      <c r="I65">
        <f>D65</f>
        <v>1</v>
      </c>
    </row>
    <row r="66" spans="1:9" x14ac:dyDescent="0.3">
      <c r="A66" s="21"/>
      <c r="B66" s="7" t="s">
        <v>36</v>
      </c>
      <c r="C66" s="2" t="s">
        <v>163</v>
      </c>
      <c r="D66" s="2">
        <v>8</v>
      </c>
      <c r="E66" s="8" t="s">
        <v>160</v>
      </c>
      <c r="F66" t="s">
        <v>112</v>
      </c>
      <c r="G66">
        <f t="shared" si="0"/>
        <v>472</v>
      </c>
      <c r="H66">
        <f>G66+D66</f>
        <v>480</v>
      </c>
      <c r="I66">
        <f>D66</f>
        <v>8</v>
      </c>
    </row>
    <row r="67" spans="1:9" x14ac:dyDescent="0.3">
      <c r="A67" s="21"/>
      <c r="B67" s="7" t="s">
        <v>37</v>
      </c>
      <c r="C67" s="2" t="s">
        <v>158</v>
      </c>
      <c r="D67" s="2">
        <v>1</v>
      </c>
      <c r="E67" s="8" t="s">
        <v>159</v>
      </c>
      <c r="F67" t="s">
        <v>111</v>
      </c>
      <c r="G67">
        <f t="shared" si="0"/>
        <v>480</v>
      </c>
      <c r="H67">
        <f>G67+D67</f>
        <v>481</v>
      </c>
      <c r="I67">
        <f>D67</f>
        <v>1</v>
      </c>
    </row>
    <row r="68" spans="1:9" ht="15" thickBot="1" x14ac:dyDescent="0.35">
      <c r="A68" s="22"/>
      <c r="B68" s="9" t="s">
        <v>38</v>
      </c>
      <c r="C68" s="10" t="s">
        <v>164</v>
      </c>
      <c r="D68" s="10">
        <v>1</v>
      </c>
      <c r="E68" s="11" t="s">
        <v>123</v>
      </c>
      <c r="F68" t="s">
        <v>111</v>
      </c>
      <c r="G68">
        <f t="shared" si="0"/>
        <v>481</v>
      </c>
      <c r="H68">
        <f>G68+D68</f>
        <v>482</v>
      </c>
      <c r="I68">
        <f>D68</f>
        <v>1</v>
      </c>
    </row>
    <row r="69" spans="1:9" x14ac:dyDescent="0.3">
      <c r="B69" s="23" t="s">
        <v>41</v>
      </c>
      <c r="C69" s="24" t="s">
        <v>132</v>
      </c>
      <c r="D69" s="24">
        <v>8</v>
      </c>
      <c r="E69" s="24" t="s">
        <v>186</v>
      </c>
      <c r="F69" t="s">
        <v>113</v>
      </c>
      <c r="G69">
        <f t="shared" si="0"/>
        <v>482</v>
      </c>
      <c r="H69">
        <f>G69+D69</f>
        <v>490</v>
      </c>
      <c r="I69">
        <f>D69</f>
        <v>8</v>
      </c>
    </row>
    <row r="70" spans="1:9" x14ac:dyDescent="0.3">
      <c r="B70" s="3" t="s">
        <v>42</v>
      </c>
      <c r="C70" s="2" t="s">
        <v>133</v>
      </c>
      <c r="D70" s="2">
        <v>8</v>
      </c>
      <c r="E70" s="2" t="s">
        <v>187</v>
      </c>
      <c r="F70" t="s">
        <v>114</v>
      </c>
      <c r="G70">
        <f t="shared" ref="G70:G83" si="1">H69</f>
        <v>490</v>
      </c>
      <c r="H70">
        <f>G70+D70</f>
        <v>498</v>
      </c>
      <c r="I70">
        <f>D70</f>
        <v>8</v>
      </c>
    </row>
    <row r="71" spans="1:9" x14ac:dyDescent="0.3">
      <c r="B71" s="3" t="s">
        <v>43</v>
      </c>
      <c r="C71" s="2" t="s">
        <v>130</v>
      </c>
      <c r="D71" s="2">
        <v>8</v>
      </c>
      <c r="E71" s="2" t="s">
        <v>129</v>
      </c>
      <c r="F71" t="s">
        <v>115</v>
      </c>
      <c r="G71">
        <f t="shared" si="1"/>
        <v>498</v>
      </c>
      <c r="H71">
        <f>G71+D71</f>
        <v>506</v>
      </c>
      <c r="I71">
        <f>D71</f>
        <v>8</v>
      </c>
    </row>
    <row r="72" spans="1:9" x14ac:dyDescent="0.3">
      <c r="B72" s="3" t="s">
        <v>44</v>
      </c>
      <c r="C72" s="2" t="s">
        <v>131</v>
      </c>
      <c r="D72" s="2">
        <v>8</v>
      </c>
      <c r="E72" s="2" t="s">
        <v>129</v>
      </c>
      <c r="F72" t="s">
        <v>115</v>
      </c>
      <c r="G72">
        <f t="shared" si="1"/>
        <v>506</v>
      </c>
      <c r="H72">
        <f>G72+D72</f>
        <v>514</v>
      </c>
      <c r="I72">
        <f>D72</f>
        <v>8</v>
      </c>
    </row>
    <row r="73" spans="1:9" x14ac:dyDescent="0.3">
      <c r="B73" s="3" t="s">
        <v>45</v>
      </c>
      <c r="C73" s="2" t="s">
        <v>134</v>
      </c>
      <c r="D73" s="2">
        <v>8</v>
      </c>
      <c r="E73" s="2" t="s">
        <v>129</v>
      </c>
      <c r="F73" t="s">
        <v>115</v>
      </c>
      <c r="G73">
        <f t="shared" si="1"/>
        <v>514</v>
      </c>
      <c r="H73">
        <f>G73+D73</f>
        <v>522</v>
      </c>
      <c r="I73">
        <f>D73</f>
        <v>8</v>
      </c>
    </row>
    <row r="74" spans="1:9" ht="15" thickBot="1" x14ac:dyDescent="0.35">
      <c r="B74" s="16" t="s">
        <v>46</v>
      </c>
      <c r="C74" s="2" t="s">
        <v>135</v>
      </c>
      <c r="D74" s="17">
        <v>3</v>
      </c>
      <c r="E74" s="2" t="s">
        <v>129</v>
      </c>
      <c r="F74" t="s">
        <v>91</v>
      </c>
      <c r="G74">
        <f t="shared" si="1"/>
        <v>522</v>
      </c>
      <c r="H74">
        <f>G74+D74</f>
        <v>525</v>
      </c>
      <c r="I74">
        <f>D74</f>
        <v>3</v>
      </c>
    </row>
    <row r="75" spans="1:9" x14ac:dyDescent="0.3">
      <c r="A75" s="20" t="s">
        <v>126</v>
      </c>
      <c r="B75" s="28" t="s">
        <v>47</v>
      </c>
      <c r="C75" s="14" t="s">
        <v>137</v>
      </c>
      <c r="D75" s="14">
        <v>7</v>
      </c>
      <c r="E75" s="15" t="s">
        <v>136</v>
      </c>
      <c r="F75" t="s">
        <v>116</v>
      </c>
      <c r="G75">
        <f t="shared" si="1"/>
        <v>525</v>
      </c>
      <c r="H75">
        <f>G75+D75</f>
        <v>532</v>
      </c>
      <c r="I75">
        <f>D75</f>
        <v>7</v>
      </c>
    </row>
    <row r="76" spans="1:9" x14ac:dyDescent="0.3">
      <c r="A76" s="21"/>
      <c r="B76" s="29" t="s">
        <v>48</v>
      </c>
      <c r="C76" s="4" t="s">
        <v>137</v>
      </c>
      <c r="D76" s="4">
        <v>7</v>
      </c>
      <c r="E76" s="6" t="s">
        <v>136</v>
      </c>
      <c r="F76" t="s">
        <v>116</v>
      </c>
      <c r="G76">
        <f t="shared" si="1"/>
        <v>532</v>
      </c>
      <c r="H76">
        <f>G76+D76</f>
        <v>539</v>
      </c>
      <c r="I76">
        <f>D76</f>
        <v>7</v>
      </c>
    </row>
    <row r="77" spans="1:9" ht="15" thickBot="1" x14ac:dyDescent="0.35">
      <c r="A77" s="22"/>
      <c r="B77" s="30" t="s">
        <v>49</v>
      </c>
      <c r="C77" s="18" t="s">
        <v>137</v>
      </c>
      <c r="D77" s="18">
        <v>7</v>
      </c>
      <c r="E77" s="19" t="s">
        <v>136</v>
      </c>
      <c r="F77" t="s">
        <v>116</v>
      </c>
      <c r="G77">
        <f t="shared" si="1"/>
        <v>539</v>
      </c>
      <c r="H77">
        <f>G77+D77</f>
        <v>546</v>
      </c>
      <c r="I77">
        <f>D77</f>
        <v>7</v>
      </c>
    </row>
    <row r="78" spans="1:9" x14ac:dyDescent="0.3">
      <c r="A78" s="20" t="s">
        <v>127</v>
      </c>
      <c r="B78" s="28" t="s">
        <v>47</v>
      </c>
      <c r="C78" s="14" t="s">
        <v>138</v>
      </c>
      <c r="D78" s="14">
        <v>7</v>
      </c>
      <c r="E78" s="15" t="s">
        <v>136</v>
      </c>
      <c r="F78" t="s">
        <v>116</v>
      </c>
      <c r="G78">
        <f t="shared" si="1"/>
        <v>546</v>
      </c>
      <c r="H78">
        <f>G78+D78</f>
        <v>553</v>
      </c>
      <c r="I78">
        <f>D78</f>
        <v>7</v>
      </c>
    </row>
    <row r="79" spans="1:9" x14ac:dyDescent="0.3">
      <c r="A79" s="21"/>
      <c r="B79" s="29" t="s">
        <v>48</v>
      </c>
      <c r="C79" s="4" t="s">
        <v>138</v>
      </c>
      <c r="D79" s="4">
        <v>7</v>
      </c>
      <c r="E79" s="6" t="s">
        <v>136</v>
      </c>
      <c r="F79" t="s">
        <v>116</v>
      </c>
      <c r="G79">
        <f t="shared" si="1"/>
        <v>553</v>
      </c>
      <c r="H79">
        <f>G79+D79</f>
        <v>560</v>
      </c>
      <c r="I79">
        <f>D79</f>
        <v>7</v>
      </c>
    </row>
    <row r="80" spans="1:9" ht="15" thickBot="1" x14ac:dyDescent="0.35">
      <c r="A80" s="22"/>
      <c r="B80" s="30" t="s">
        <v>49</v>
      </c>
      <c r="C80" s="18" t="s">
        <v>138</v>
      </c>
      <c r="D80" s="18">
        <v>7</v>
      </c>
      <c r="E80" s="19" t="s">
        <v>136</v>
      </c>
      <c r="F80" t="s">
        <v>116</v>
      </c>
      <c r="G80">
        <f t="shared" si="1"/>
        <v>560</v>
      </c>
      <c r="H80">
        <f>G80+D80</f>
        <v>567</v>
      </c>
      <c r="I80">
        <f>D80</f>
        <v>7</v>
      </c>
    </row>
    <row r="81" spans="1:9" x14ac:dyDescent="0.3">
      <c r="A81" s="20" t="s">
        <v>128</v>
      </c>
      <c r="B81" s="31" t="s">
        <v>47</v>
      </c>
      <c r="C81" s="14" t="s">
        <v>139</v>
      </c>
      <c r="D81" s="14">
        <v>7</v>
      </c>
      <c r="E81" s="15" t="s">
        <v>136</v>
      </c>
      <c r="F81" t="s">
        <v>116</v>
      </c>
      <c r="G81">
        <f t="shared" si="1"/>
        <v>567</v>
      </c>
      <c r="H81">
        <f>G81+D81</f>
        <v>574</v>
      </c>
      <c r="I81">
        <f>D81</f>
        <v>7</v>
      </c>
    </row>
    <row r="82" spans="1:9" x14ac:dyDescent="0.3">
      <c r="A82" s="21"/>
      <c r="B82" s="32" t="s">
        <v>48</v>
      </c>
      <c r="C82" s="4" t="s">
        <v>139</v>
      </c>
      <c r="D82" s="4">
        <v>7</v>
      </c>
      <c r="E82" s="6" t="s">
        <v>136</v>
      </c>
      <c r="F82" t="s">
        <v>116</v>
      </c>
      <c r="G82">
        <f t="shared" si="1"/>
        <v>574</v>
      </c>
      <c r="H82">
        <f>G82+D82</f>
        <v>581</v>
      </c>
      <c r="I82">
        <f>D82</f>
        <v>7</v>
      </c>
    </row>
    <row r="83" spans="1:9" ht="15" thickBot="1" x14ac:dyDescent="0.35">
      <c r="A83" s="22"/>
      <c r="B83" s="33" t="s">
        <v>49</v>
      </c>
      <c r="C83" s="18" t="s">
        <v>139</v>
      </c>
      <c r="D83" s="18">
        <v>7</v>
      </c>
      <c r="E83" s="19" t="s">
        <v>136</v>
      </c>
      <c r="F83" t="s">
        <v>116</v>
      </c>
      <c r="G83">
        <f t="shared" si="1"/>
        <v>581</v>
      </c>
      <c r="H83">
        <f>D86</f>
        <v>587</v>
      </c>
      <c r="I83">
        <f>D83</f>
        <v>7</v>
      </c>
    </row>
    <row r="86" spans="1:9" x14ac:dyDescent="0.3">
      <c r="D86">
        <f>SUM(D2:D83)</f>
        <v>587</v>
      </c>
    </row>
  </sheetData>
  <mergeCells count="7">
    <mergeCell ref="A2:A20"/>
    <mergeCell ref="A21:A36"/>
    <mergeCell ref="A37:A52"/>
    <mergeCell ref="A53:A68"/>
    <mergeCell ref="A75:A77"/>
    <mergeCell ref="A78:A80"/>
    <mergeCell ref="A81:A83"/>
  </mergeCells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BA8C-309F-47E9-89B3-D7425B4D4D47}">
  <dimension ref="A1:D86"/>
  <sheetViews>
    <sheetView workbookViewId="0">
      <selection activeCell="B89" sqref="B89"/>
    </sheetView>
  </sheetViews>
  <sheetFormatPr defaultRowHeight="14.4" x14ac:dyDescent="0.3"/>
  <cols>
    <col min="4" max="4" width="22.109375" bestFit="1" customWidth="1"/>
  </cols>
  <sheetData>
    <row r="1" spans="1:4" x14ac:dyDescent="0.3">
      <c r="A1" t="s">
        <v>77</v>
      </c>
    </row>
    <row r="4" spans="1:4" x14ac:dyDescent="0.3">
      <c r="A4" t="s">
        <v>51</v>
      </c>
      <c r="B4" t="s">
        <v>78</v>
      </c>
    </row>
    <row r="5" spans="1:4" x14ac:dyDescent="0.3">
      <c r="A5">
        <v>1</v>
      </c>
      <c r="B5">
        <v>11</v>
      </c>
      <c r="D5" t="str">
        <f t="shared" ref="D5:D8" si="0">SUBSTITUTE(MID($A$1,A5,B5)," ","[s]")</f>
        <v>KOD12345678</v>
      </c>
    </row>
    <row r="6" spans="1:4" x14ac:dyDescent="0.3">
      <c r="A6">
        <v>12</v>
      </c>
      <c r="B6">
        <v>30</v>
      </c>
      <c r="D6" t="str">
        <f t="shared" si="0"/>
        <v>T20D20E60P345[s][s][s][s][s][s][s][s][s][s][s][s][s][s][s][s][s]</v>
      </c>
    </row>
    <row r="7" spans="1:4" x14ac:dyDescent="0.3">
      <c r="A7">
        <v>42</v>
      </c>
      <c r="B7">
        <v>5</v>
      </c>
      <c r="D7" t="str">
        <f t="shared" si="0"/>
        <v>1.33[s]</v>
      </c>
    </row>
    <row r="8" spans="1:4" x14ac:dyDescent="0.3">
      <c r="A8">
        <v>47</v>
      </c>
      <c r="B8">
        <v>5</v>
      </c>
      <c r="D8" t="str">
        <f t="shared" si="0"/>
        <v>1.44[s]</v>
      </c>
    </row>
    <row r="9" spans="1:4" x14ac:dyDescent="0.3">
      <c r="A9">
        <v>52</v>
      </c>
      <c r="B9">
        <v>4</v>
      </c>
      <c r="D9" t="str">
        <f>SUBSTITUTE(MID($A$1,A9,B9)," ","[s]")</f>
        <v>[s][s][s][s]</v>
      </c>
    </row>
    <row r="10" spans="1:4" x14ac:dyDescent="0.3">
      <c r="A10">
        <v>56</v>
      </c>
      <c r="B10">
        <v>4</v>
      </c>
      <c r="D10" t="str">
        <f t="shared" ref="D10:D73" si="1">SUBSTITUTE(MID($A$1,A10,B10)," ","[s]")</f>
        <v>9152</v>
      </c>
    </row>
    <row r="11" spans="1:4" x14ac:dyDescent="0.3">
      <c r="A11">
        <v>60</v>
      </c>
      <c r="B11">
        <v>2</v>
      </c>
      <c r="D11" t="str">
        <f t="shared" si="1"/>
        <v>01</v>
      </c>
    </row>
    <row r="12" spans="1:4" x14ac:dyDescent="0.3">
      <c r="A12">
        <v>62</v>
      </c>
      <c r="B12">
        <v>4</v>
      </c>
      <c r="D12" t="str">
        <f t="shared" si="1"/>
        <v>9142</v>
      </c>
    </row>
    <row r="13" spans="1:4" x14ac:dyDescent="0.3">
      <c r="A13">
        <v>66</v>
      </c>
      <c r="B13">
        <v>2</v>
      </c>
      <c r="D13" t="str">
        <f t="shared" si="1"/>
        <v>01</v>
      </c>
    </row>
    <row r="14" spans="1:4" x14ac:dyDescent="0.3">
      <c r="A14">
        <v>68</v>
      </c>
      <c r="B14">
        <v>36</v>
      </c>
      <c r="D14" t="str">
        <f t="shared" si="1"/>
        <v>FALA[s]E[s][s][s][s][s][s][s][s][s][s][s][s][s][s][s][s][s][s][s][s][s][s][s][s][s][s][s][s][s][s]</v>
      </c>
    </row>
    <row r="15" spans="1:4" x14ac:dyDescent="0.3">
      <c r="A15">
        <v>104</v>
      </c>
      <c r="B15">
        <v>3</v>
      </c>
      <c r="D15" t="str">
        <f t="shared" si="1"/>
        <v>E[s][s]</v>
      </c>
    </row>
    <row r="16" spans="1:4" x14ac:dyDescent="0.3">
      <c r="A16">
        <v>107</v>
      </c>
      <c r="B16">
        <v>4</v>
      </c>
      <c r="D16" t="str">
        <f t="shared" si="1"/>
        <v>[s][s][s][s]</v>
      </c>
    </row>
    <row r="17" spans="1:4" x14ac:dyDescent="0.3">
      <c r="A17">
        <v>111</v>
      </c>
      <c r="B17">
        <v>4</v>
      </c>
      <c r="D17" t="str">
        <f t="shared" si="1"/>
        <v>[s][s][s][s]</v>
      </c>
    </row>
    <row r="18" spans="1:4" x14ac:dyDescent="0.3">
      <c r="A18">
        <v>115</v>
      </c>
      <c r="B18">
        <v>4</v>
      </c>
      <c r="D18" t="str">
        <f t="shared" si="1"/>
        <v>[s][s][s][s]</v>
      </c>
    </row>
    <row r="19" spans="1:4" x14ac:dyDescent="0.3">
      <c r="A19">
        <v>119</v>
      </c>
      <c r="B19">
        <v>4</v>
      </c>
      <c r="D19" t="str">
        <f t="shared" si="1"/>
        <v>[s][s][s][s]</v>
      </c>
    </row>
    <row r="20" spans="1:4" x14ac:dyDescent="0.3">
      <c r="A20">
        <v>123</v>
      </c>
      <c r="B20">
        <v>4</v>
      </c>
      <c r="D20" t="str">
        <f t="shared" si="1"/>
        <v>[s][s][s][s]</v>
      </c>
    </row>
    <row r="21" spans="1:4" x14ac:dyDescent="0.3">
      <c r="A21">
        <v>127</v>
      </c>
      <c r="B21">
        <v>5</v>
      </c>
      <c r="D21" t="str">
        <f t="shared" si="1"/>
        <v>25000</v>
      </c>
    </row>
    <row r="22" spans="1:4" x14ac:dyDescent="0.3">
      <c r="A22">
        <v>132</v>
      </c>
      <c r="B22">
        <v>8</v>
      </c>
      <c r="D22" t="str">
        <f t="shared" si="1"/>
        <v>43970[s][s][s]</v>
      </c>
    </row>
    <row r="23" spans="1:4" x14ac:dyDescent="0.3">
      <c r="A23">
        <v>140</v>
      </c>
      <c r="B23">
        <v>3</v>
      </c>
      <c r="D23" t="str">
        <f t="shared" si="1"/>
        <v>[s][s][s]</v>
      </c>
    </row>
    <row r="24" spans="1:4" x14ac:dyDescent="0.3">
      <c r="A24">
        <v>143</v>
      </c>
      <c r="B24">
        <v>15</v>
      </c>
      <c r="D24" t="str">
        <f t="shared" si="1"/>
        <v>KOMENT123456789</v>
      </c>
    </row>
    <row r="25" spans="1:4" x14ac:dyDescent="0.3">
      <c r="A25">
        <v>158</v>
      </c>
      <c r="B25">
        <v>12</v>
      </c>
      <c r="D25" t="str">
        <f t="shared" si="1"/>
        <v>KOD123456789</v>
      </c>
    </row>
    <row r="26" spans="1:4" x14ac:dyDescent="0.3">
      <c r="A26">
        <v>170</v>
      </c>
      <c r="B26">
        <v>30</v>
      </c>
      <c r="D26" t="str">
        <f t="shared" si="1"/>
        <v>NAZWA_KLIENTA12345678901234567</v>
      </c>
    </row>
    <row r="27" spans="1:4" x14ac:dyDescent="0.3">
      <c r="A27">
        <v>200</v>
      </c>
      <c r="B27">
        <v>5</v>
      </c>
      <c r="D27" t="str">
        <f t="shared" si="1"/>
        <v>25000</v>
      </c>
    </row>
    <row r="28" spans="1:4" x14ac:dyDescent="0.3">
      <c r="A28">
        <v>205</v>
      </c>
      <c r="B28">
        <v>5</v>
      </c>
      <c r="D28" t="str">
        <f t="shared" si="1"/>
        <v>5000[s]</v>
      </c>
    </row>
    <row r="29" spans="1:4" x14ac:dyDescent="0.3">
      <c r="A29">
        <v>210</v>
      </c>
      <c r="B29">
        <v>5</v>
      </c>
      <c r="D29" t="str">
        <f t="shared" si="1"/>
        <v>5000[s]</v>
      </c>
    </row>
    <row r="30" spans="1:4" x14ac:dyDescent="0.3">
      <c r="A30">
        <v>215</v>
      </c>
      <c r="B30">
        <v>5</v>
      </c>
      <c r="D30" t="str">
        <f t="shared" si="1"/>
        <v>6000[s]</v>
      </c>
    </row>
    <row r="31" spans="1:4" x14ac:dyDescent="0.3">
      <c r="A31">
        <v>220</v>
      </c>
      <c r="B31">
        <v>5</v>
      </c>
      <c r="D31" t="str">
        <f t="shared" si="1"/>
        <v>2000[s]</v>
      </c>
    </row>
    <row r="32" spans="1:4" x14ac:dyDescent="0.3">
      <c r="A32">
        <v>225</v>
      </c>
      <c r="B32">
        <v>5</v>
      </c>
      <c r="D32" t="str">
        <f t="shared" si="1"/>
        <v>7000[s]</v>
      </c>
    </row>
    <row r="33" spans="1:4" x14ac:dyDescent="0.3">
      <c r="A33">
        <v>230</v>
      </c>
      <c r="B33">
        <v>4</v>
      </c>
      <c r="D33" t="str">
        <f t="shared" si="1"/>
        <v>700[s]</v>
      </c>
    </row>
    <row r="34" spans="1:4" x14ac:dyDescent="0.3">
      <c r="A34">
        <v>234</v>
      </c>
      <c r="B34">
        <v>5</v>
      </c>
      <c r="D34" t="str">
        <f t="shared" si="1"/>
        <v>50000</v>
      </c>
    </row>
    <row r="35" spans="1:4" x14ac:dyDescent="0.3">
      <c r="A35">
        <v>239</v>
      </c>
      <c r="B35">
        <v>6</v>
      </c>
      <c r="D35" t="str">
        <f t="shared" si="1"/>
        <v>8794[s][s]</v>
      </c>
    </row>
    <row r="36" spans="1:4" x14ac:dyDescent="0.3">
      <c r="A36">
        <v>245</v>
      </c>
      <c r="B36">
        <v>1</v>
      </c>
      <c r="D36" t="str">
        <f t="shared" si="1"/>
        <v>1</v>
      </c>
    </row>
    <row r="37" spans="1:4" x14ac:dyDescent="0.3">
      <c r="A37">
        <v>246</v>
      </c>
      <c r="B37">
        <v>8</v>
      </c>
      <c r="D37" t="str">
        <f t="shared" si="1"/>
        <v>43970[s][s][s]</v>
      </c>
    </row>
    <row r="38" spans="1:4" x14ac:dyDescent="0.3">
      <c r="A38">
        <v>254</v>
      </c>
      <c r="B38">
        <v>1</v>
      </c>
      <c r="D38" t="str">
        <f t="shared" si="1"/>
        <v>2</v>
      </c>
    </row>
    <row r="39" spans="1:4" x14ac:dyDescent="0.3">
      <c r="A39">
        <v>255</v>
      </c>
      <c r="B39">
        <v>1</v>
      </c>
      <c r="D39" t="str">
        <f t="shared" si="1"/>
        <v>0</v>
      </c>
    </row>
    <row r="40" spans="1:4" x14ac:dyDescent="0.3">
      <c r="A40">
        <v>256</v>
      </c>
      <c r="B40">
        <v>15</v>
      </c>
      <c r="D40" t="str">
        <f t="shared" si="1"/>
        <v>[s][s][s][s][s][s][s][s][s][s][s][s][s][s][s]</v>
      </c>
    </row>
    <row r="41" spans="1:4" x14ac:dyDescent="0.3">
      <c r="A41">
        <v>271</v>
      </c>
      <c r="B41">
        <v>12</v>
      </c>
      <c r="D41" t="str">
        <f t="shared" si="1"/>
        <v>[s][s][s][s][s][s][s][s][s][s][s][s]</v>
      </c>
    </row>
    <row r="42" spans="1:4" x14ac:dyDescent="0.3">
      <c r="A42">
        <v>283</v>
      </c>
      <c r="B42">
        <v>30</v>
      </c>
      <c r="D42" t="str">
        <f t="shared" si="1"/>
        <v>[s][s][s][s][s][s][s][s][s][s][s][s][s][s][s][s][s][s][s][s][s][s][s][s][s][s][s][s][s][s]</v>
      </c>
    </row>
    <row r="43" spans="1:4" x14ac:dyDescent="0.3">
      <c r="A43">
        <v>313</v>
      </c>
      <c r="B43">
        <v>5</v>
      </c>
      <c r="D43" t="str">
        <f t="shared" si="1"/>
        <v>0[s][s][s][s]</v>
      </c>
    </row>
    <row r="44" spans="1:4" x14ac:dyDescent="0.3">
      <c r="A44">
        <v>318</v>
      </c>
      <c r="B44">
        <v>5</v>
      </c>
      <c r="D44" t="str">
        <f t="shared" si="1"/>
        <v>0[s][s][s][s]</v>
      </c>
    </row>
    <row r="45" spans="1:4" x14ac:dyDescent="0.3">
      <c r="A45">
        <v>323</v>
      </c>
      <c r="B45">
        <v>5</v>
      </c>
      <c r="D45" t="str">
        <f t="shared" si="1"/>
        <v>0[s][s][s][s]</v>
      </c>
    </row>
    <row r="46" spans="1:4" x14ac:dyDescent="0.3">
      <c r="A46">
        <v>328</v>
      </c>
      <c r="B46">
        <v>5</v>
      </c>
      <c r="D46" t="str">
        <f t="shared" si="1"/>
        <v>0[s][s][s][s]</v>
      </c>
    </row>
    <row r="47" spans="1:4" x14ac:dyDescent="0.3">
      <c r="A47">
        <v>333</v>
      </c>
      <c r="B47">
        <v>5</v>
      </c>
      <c r="D47" t="str">
        <f t="shared" si="1"/>
        <v>0[s][s][s][s]</v>
      </c>
    </row>
    <row r="48" spans="1:4" x14ac:dyDescent="0.3">
      <c r="A48">
        <v>338</v>
      </c>
      <c r="B48">
        <v>5</v>
      </c>
      <c r="D48" t="str">
        <f t="shared" si="1"/>
        <v>0[s][s][s][s]</v>
      </c>
    </row>
    <row r="49" spans="1:4" x14ac:dyDescent="0.3">
      <c r="A49">
        <v>343</v>
      </c>
      <c r="B49">
        <v>4</v>
      </c>
      <c r="D49" t="str">
        <f t="shared" si="1"/>
        <v>0[s][s][s]</v>
      </c>
    </row>
    <row r="50" spans="1:4" x14ac:dyDescent="0.3">
      <c r="A50">
        <v>347</v>
      </c>
      <c r="B50">
        <v>5</v>
      </c>
      <c r="D50" t="str">
        <f t="shared" si="1"/>
        <v>0[s][s][s][s]</v>
      </c>
    </row>
    <row r="51" spans="1:4" x14ac:dyDescent="0.3">
      <c r="A51">
        <v>352</v>
      </c>
      <c r="B51">
        <v>6</v>
      </c>
      <c r="D51" t="str">
        <f t="shared" si="1"/>
        <v>[s][s][s][s][s][s]</v>
      </c>
    </row>
    <row r="52" spans="1:4" x14ac:dyDescent="0.3">
      <c r="A52">
        <v>358</v>
      </c>
      <c r="B52">
        <v>1</v>
      </c>
      <c r="D52" t="str">
        <f t="shared" si="1"/>
        <v>[s]</v>
      </c>
    </row>
    <row r="53" spans="1:4" x14ac:dyDescent="0.3">
      <c r="A53">
        <v>359</v>
      </c>
      <c r="B53">
        <v>8</v>
      </c>
      <c r="D53" t="str">
        <f t="shared" si="1"/>
        <v>0[s][s][s][s][s][s][s]</v>
      </c>
    </row>
    <row r="54" spans="1:4" x14ac:dyDescent="0.3">
      <c r="A54">
        <v>367</v>
      </c>
      <c r="B54">
        <v>1</v>
      </c>
      <c r="D54" t="str">
        <f t="shared" si="1"/>
        <v>[s]</v>
      </c>
    </row>
    <row r="55" spans="1:4" x14ac:dyDescent="0.3">
      <c r="A55">
        <v>368</v>
      </c>
      <c r="B55">
        <v>1</v>
      </c>
      <c r="D55" t="str">
        <f t="shared" si="1"/>
        <v>[s]</v>
      </c>
    </row>
    <row r="56" spans="1:4" x14ac:dyDescent="0.3">
      <c r="A56">
        <v>369</v>
      </c>
      <c r="B56">
        <v>15</v>
      </c>
      <c r="D56" t="str">
        <f t="shared" si="1"/>
        <v>[s][s][s][s][s][s][s][s][s][s][s][s][s][s][s]</v>
      </c>
    </row>
    <row r="57" spans="1:4" x14ac:dyDescent="0.3">
      <c r="A57">
        <v>384</v>
      </c>
      <c r="B57">
        <v>12</v>
      </c>
      <c r="D57" t="str">
        <f t="shared" si="1"/>
        <v>[s][s][s][s][s][s][s][s][s][s][s][s]</v>
      </c>
    </row>
    <row r="58" spans="1:4" x14ac:dyDescent="0.3">
      <c r="A58">
        <v>396</v>
      </c>
      <c r="B58">
        <v>30</v>
      </c>
      <c r="D58" t="str">
        <f t="shared" si="1"/>
        <v>[s][s][s][s][s][s][s][s][s][s][s][s][s][s][s][s][s][s][s][s][s][s][s][s][s][s][s][s][s][s]</v>
      </c>
    </row>
    <row r="59" spans="1:4" x14ac:dyDescent="0.3">
      <c r="A59">
        <v>426</v>
      </c>
      <c r="B59">
        <v>5</v>
      </c>
      <c r="D59" t="str">
        <f t="shared" si="1"/>
        <v>0[s][s][s][s]</v>
      </c>
    </row>
    <row r="60" spans="1:4" x14ac:dyDescent="0.3">
      <c r="A60">
        <v>431</v>
      </c>
      <c r="B60">
        <v>5</v>
      </c>
      <c r="D60" t="str">
        <f t="shared" si="1"/>
        <v>0[s][s][s][s]</v>
      </c>
    </row>
    <row r="61" spans="1:4" x14ac:dyDescent="0.3">
      <c r="A61">
        <v>436</v>
      </c>
      <c r="B61">
        <v>5</v>
      </c>
      <c r="D61" t="str">
        <f t="shared" si="1"/>
        <v>0[s][s][s][s]</v>
      </c>
    </row>
    <row r="62" spans="1:4" x14ac:dyDescent="0.3">
      <c r="A62">
        <v>441</v>
      </c>
      <c r="B62">
        <v>5</v>
      </c>
      <c r="D62" t="str">
        <f t="shared" si="1"/>
        <v>0[s][s][s][s]</v>
      </c>
    </row>
    <row r="63" spans="1:4" x14ac:dyDescent="0.3">
      <c r="A63">
        <v>446</v>
      </c>
      <c r="B63">
        <v>5</v>
      </c>
      <c r="D63" t="str">
        <f t="shared" si="1"/>
        <v>0[s][s][s][s]</v>
      </c>
    </row>
    <row r="64" spans="1:4" x14ac:dyDescent="0.3">
      <c r="A64">
        <v>451</v>
      </c>
      <c r="B64">
        <v>5</v>
      </c>
      <c r="D64" t="str">
        <f t="shared" si="1"/>
        <v>0[s][s][s][s]</v>
      </c>
    </row>
    <row r="65" spans="1:4" x14ac:dyDescent="0.3">
      <c r="A65">
        <v>456</v>
      </c>
      <c r="B65">
        <v>4</v>
      </c>
      <c r="D65" t="str">
        <f t="shared" si="1"/>
        <v>0[s][s][s]</v>
      </c>
    </row>
    <row r="66" spans="1:4" x14ac:dyDescent="0.3">
      <c r="A66">
        <v>460</v>
      </c>
      <c r="B66">
        <v>5</v>
      </c>
      <c r="D66" t="str">
        <f t="shared" si="1"/>
        <v>0[s][s][s][s]</v>
      </c>
    </row>
    <row r="67" spans="1:4" x14ac:dyDescent="0.3">
      <c r="A67">
        <v>465</v>
      </c>
      <c r="B67">
        <v>6</v>
      </c>
      <c r="D67" t="str">
        <f t="shared" si="1"/>
        <v>[s][s][s][s][s][s]</v>
      </c>
    </row>
    <row r="68" spans="1:4" x14ac:dyDescent="0.3">
      <c r="A68">
        <v>471</v>
      </c>
      <c r="B68">
        <v>1</v>
      </c>
      <c r="D68" t="str">
        <f t="shared" si="1"/>
        <v>[s]</v>
      </c>
    </row>
    <row r="69" spans="1:4" x14ac:dyDescent="0.3">
      <c r="A69">
        <v>472</v>
      </c>
      <c r="B69">
        <v>8</v>
      </c>
      <c r="D69" t="str">
        <f t="shared" si="1"/>
        <v>0[s][s][s][s][s][s][s]</v>
      </c>
    </row>
    <row r="70" spans="1:4" x14ac:dyDescent="0.3">
      <c r="A70">
        <v>480</v>
      </c>
      <c r="B70">
        <v>1</v>
      </c>
      <c r="D70" t="str">
        <f t="shared" si="1"/>
        <v>[s]</v>
      </c>
    </row>
    <row r="71" spans="1:4" x14ac:dyDescent="0.3">
      <c r="A71">
        <v>481</v>
      </c>
      <c r="B71">
        <v>1</v>
      </c>
      <c r="D71" t="str">
        <f t="shared" si="1"/>
        <v>[s]</v>
      </c>
    </row>
    <row r="72" spans="1:4" x14ac:dyDescent="0.3">
      <c r="A72">
        <v>482</v>
      </c>
      <c r="B72">
        <v>8</v>
      </c>
      <c r="D72" t="str">
        <f t="shared" si="1"/>
        <v>23:05:03</v>
      </c>
    </row>
    <row r="73" spans="1:4" x14ac:dyDescent="0.3">
      <c r="A73">
        <v>490</v>
      </c>
      <c r="B73">
        <v>8</v>
      </c>
      <c r="D73" t="str">
        <f t="shared" si="1"/>
        <v>21-05-04</v>
      </c>
    </row>
    <row r="74" spans="1:4" x14ac:dyDescent="0.3">
      <c r="A74">
        <v>498</v>
      </c>
      <c r="B74">
        <v>8</v>
      </c>
      <c r="D74" t="str">
        <f t="shared" ref="D74:D86" si="2">SUBSTITUTE(MID($A$1,A74,B74)," ","[s]")</f>
        <v>[s][s][s][s][s][s][s][s]</v>
      </c>
    </row>
    <row r="75" spans="1:4" x14ac:dyDescent="0.3">
      <c r="A75">
        <v>506</v>
      </c>
      <c r="B75">
        <v>8</v>
      </c>
      <c r="D75" t="str">
        <f t="shared" si="2"/>
        <v>[s][s][s][s][s][s][s][s]</v>
      </c>
    </row>
    <row r="76" spans="1:4" x14ac:dyDescent="0.3">
      <c r="A76">
        <v>514</v>
      </c>
      <c r="B76">
        <v>8</v>
      </c>
      <c r="D76" t="str">
        <f t="shared" si="2"/>
        <v>[s][s][s][s][s][s][s][s]</v>
      </c>
    </row>
    <row r="77" spans="1:4" x14ac:dyDescent="0.3">
      <c r="A77">
        <v>522</v>
      </c>
      <c r="B77">
        <v>3</v>
      </c>
      <c r="D77" t="str">
        <f t="shared" si="2"/>
        <v>[s][s][s]</v>
      </c>
    </row>
    <row r="78" spans="1:4" x14ac:dyDescent="0.3">
      <c r="A78">
        <v>525</v>
      </c>
      <c r="B78">
        <v>7</v>
      </c>
      <c r="D78" t="str">
        <f t="shared" si="2"/>
        <v>0[s][s][s][s][s][s]</v>
      </c>
    </row>
    <row r="79" spans="1:4" x14ac:dyDescent="0.3">
      <c r="A79">
        <v>532</v>
      </c>
      <c r="B79">
        <v>7</v>
      </c>
      <c r="D79" t="str">
        <f t="shared" si="2"/>
        <v>0[s][s][s][s][s][s]</v>
      </c>
    </row>
    <row r="80" spans="1:4" x14ac:dyDescent="0.3">
      <c r="A80">
        <v>539</v>
      </c>
      <c r="B80">
        <v>7</v>
      </c>
      <c r="D80" t="str">
        <f t="shared" si="2"/>
        <v>0[s][s][s][s][s][s]</v>
      </c>
    </row>
    <row r="81" spans="1:4" x14ac:dyDescent="0.3">
      <c r="A81">
        <v>546</v>
      </c>
      <c r="B81">
        <v>7</v>
      </c>
      <c r="D81" t="str">
        <f t="shared" si="2"/>
        <v>0[s][s][s][s][s][s]</v>
      </c>
    </row>
    <row r="82" spans="1:4" x14ac:dyDescent="0.3">
      <c r="A82">
        <v>553</v>
      </c>
      <c r="B82">
        <v>7</v>
      </c>
      <c r="D82" t="str">
        <f t="shared" si="2"/>
        <v>0[s][s][s][s][s][s]</v>
      </c>
    </row>
    <row r="83" spans="1:4" x14ac:dyDescent="0.3">
      <c r="A83">
        <v>560</v>
      </c>
      <c r="B83">
        <v>7</v>
      </c>
      <c r="D83" t="str">
        <f t="shared" si="2"/>
        <v>0[s][s][s][s][s][s]</v>
      </c>
    </row>
    <row r="84" spans="1:4" x14ac:dyDescent="0.3">
      <c r="A84">
        <v>567</v>
      </c>
      <c r="B84">
        <v>7</v>
      </c>
      <c r="D84" t="str">
        <f t="shared" si="2"/>
        <v>0[s][s][s][s][s][s]</v>
      </c>
    </row>
    <row r="85" spans="1:4" x14ac:dyDescent="0.3">
      <c r="A85">
        <v>574</v>
      </c>
      <c r="B85">
        <v>7</v>
      </c>
      <c r="D85" t="str">
        <f t="shared" si="2"/>
        <v>0[s][s][s][s][s][s]</v>
      </c>
    </row>
    <row r="86" spans="1:4" x14ac:dyDescent="0.3">
      <c r="A86">
        <v>581</v>
      </c>
      <c r="B86">
        <v>7</v>
      </c>
      <c r="D86" t="str">
        <f t="shared" si="2"/>
        <v>0[s][s][s][s][s][s]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Wpisy rozpisane</vt:lpstr>
      <vt:lpstr>1WPIS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R10</dc:creator>
  <cp:lastModifiedBy>Robert Myjak</cp:lastModifiedBy>
  <dcterms:created xsi:type="dcterms:W3CDTF">2021-05-04T21:15:07Z</dcterms:created>
  <dcterms:modified xsi:type="dcterms:W3CDTF">2021-05-05T11:37:29Z</dcterms:modified>
</cp:coreProperties>
</file>